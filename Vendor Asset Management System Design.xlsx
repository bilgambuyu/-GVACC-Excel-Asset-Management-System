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MBUYUO\Downloads\"/>
    </mc:Choice>
  </mc:AlternateContent>
  <xr:revisionPtr revIDLastSave="0" documentId="8_{E029DA69-A445-414A-AEEB-313175BB708F}" xr6:coauthVersionLast="47" xr6:coauthVersionMax="47" xr10:uidLastSave="{00000000-0000-0000-0000-000000000000}"/>
  <bookViews>
    <workbookView xWindow="-120" yWindow="-120" windowWidth="29040" windowHeight="17520" activeTab="5" xr2:uid="{6D424DB1-012E-4C7C-9D77-91BF95346A49}"/>
  </bookViews>
  <sheets>
    <sheet name="Assets_Master" sheetId="15" r:id="rId1"/>
    <sheet name="Repair_Log" sheetId="16" r:id="rId2"/>
    <sheet name="Control_Metrics" sheetId="17" r:id="rId3"/>
    <sheet name="Pivot_SLA" sheetId="18" r:id="rId4"/>
    <sheet name="Pivot_Spend" sheetId="19" r:id="rId5"/>
    <sheet name="Executive_Dashboard" sheetId="20" r:id="rId6"/>
  </sheets>
  <definedNames>
    <definedName name="Slicer_Region">#N/A</definedName>
  </definedNames>
  <calcPr calcId="191029"/>
  <pivotCaches>
    <pivotCache cacheId="27" r:id="rId7"/>
    <pivotCache cacheId="3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0" l="1"/>
  <c r="N4" i="20"/>
  <c r="N3" i="20"/>
  <c r="N2" i="20"/>
  <c r="B5" i="17"/>
  <c r="D3" i="17"/>
  <c r="C3" i="17"/>
  <c r="B3" i="17"/>
  <c r="D2" i="17"/>
  <c r="C2" i="17"/>
  <c r="B2" i="17"/>
  <c r="J381" i="16"/>
  <c r="I381" i="16"/>
  <c r="H381" i="16"/>
  <c r="F381" i="16"/>
  <c r="E381" i="16"/>
  <c r="J380" i="16"/>
  <c r="I380" i="16"/>
  <c r="H380" i="16"/>
  <c r="F380" i="16"/>
  <c r="E380" i="16"/>
  <c r="J379" i="16"/>
  <c r="I379" i="16"/>
  <c r="H379" i="16"/>
  <c r="F379" i="16"/>
  <c r="E379" i="16"/>
  <c r="J378" i="16"/>
  <c r="I378" i="16"/>
  <c r="H378" i="16"/>
  <c r="F378" i="16"/>
  <c r="E378" i="16"/>
  <c r="J377" i="16"/>
  <c r="I377" i="16"/>
  <c r="H377" i="16"/>
  <c r="F377" i="16"/>
  <c r="E377" i="16"/>
  <c r="J376" i="16"/>
  <c r="I376" i="16"/>
  <c r="H376" i="16"/>
  <c r="F376" i="16"/>
  <c r="E376" i="16"/>
  <c r="J375" i="16"/>
  <c r="I375" i="16"/>
  <c r="H375" i="16"/>
  <c r="F375" i="16"/>
  <c r="E375" i="16"/>
  <c r="J374" i="16"/>
  <c r="I374" i="16"/>
  <c r="H374" i="16"/>
  <c r="F374" i="16"/>
  <c r="E374" i="16"/>
  <c r="J373" i="16"/>
  <c r="I373" i="16"/>
  <c r="H373" i="16"/>
  <c r="F373" i="16"/>
  <c r="E373" i="16"/>
  <c r="J372" i="16"/>
  <c r="I372" i="16"/>
  <c r="H372" i="16"/>
  <c r="F372" i="16"/>
  <c r="E372" i="16"/>
  <c r="J371" i="16"/>
  <c r="I371" i="16"/>
  <c r="H371" i="16"/>
  <c r="F371" i="16"/>
  <c r="E371" i="16"/>
  <c r="J370" i="16"/>
  <c r="I370" i="16"/>
  <c r="H370" i="16"/>
  <c r="F370" i="16"/>
  <c r="E370" i="16"/>
  <c r="J369" i="16"/>
  <c r="I369" i="16"/>
  <c r="H369" i="16"/>
  <c r="F369" i="16"/>
  <c r="E369" i="16"/>
  <c r="J368" i="16"/>
  <c r="I368" i="16"/>
  <c r="H368" i="16"/>
  <c r="F368" i="16"/>
  <c r="E368" i="16"/>
  <c r="J367" i="16"/>
  <c r="I367" i="16"/>
  <c r="H367" i="16"/>
  <c r="F367" i="16"/>
  <c r="E367" i="16"/>
  <c r="J366" i="16"/>
  <c r="I366" i="16"/>
  <c r="H366" i="16"/>
  <c r="F366" i="16"/>
  <c r="E366" i="16"/>
  <c r="J365" i="16"/>
  <c r="I365" i="16"/>
  <c r="H365" i="16"/>
  <c r="F365" i="16"/>
  <c r="E365" i="16"/>
  <c r="J364" i="16"/>
  <c r="I364" i="16"/>
  <c r="H364" i="16"/>
  <c r="F364" i="16"/>
  <c r="E364" i="16"/>
  <c r="J363" i="16"/>
  <c r="I363" i="16"/>
  <c r="H363" i="16"/>
  <c r="F363" i="16"/>
  <c r="E363" i="16"/>
  <c r="J362" i="16"/>
  <c r="I362" i="16"/>
  <c r="H362" i="16"/>
  <c r="F362" i="16"/>
  <c r="E362" i="16"/>
  <c r="J361" i="16"/>
  <c r="I361" i="16"/>
  <c r="H361" i="16"/>
  <c r="F361" i="16"/>
  <c r="E361" i="16"/>
  <c r="J360" i="16"/>
  <c r="I360" i="16"/>
  <c r="H360" i="16"/>
  <c r="F360" i="16"/>
  <c r="E360" i="16"/>
  <c r="J359" i="16"/>
  <c r="I359" i="16"/>
  <c r="H359" i="16"/>
  <c r="F359" i="16"/>
  <c r="E359" i="16"/>
  <c r="J358" i="16"/>
  <c r="I358" i="16"/>
  <c r="H358" i="16"/>
  <c r="F358" i="16"/>
  <c r="E358" i="16"/>
  <c r="J357" i="16"/>
  <c r="I357" i="16"/>
  <c r="H357" i="16"/>
  <c r="F357" i="16"/>
  <c r="E357" i="16"/>
  <c r="J356" i="16"/>
  <c r="I356" i="16"/>
  <c r="H356" i="16"/>
  <c r="F356" i="16"/>
  <c r="E356" i="16"/>
  <c r="J355" i="16"/>
  <c r="I355" i="16"/>
  <c r="H355" i="16"/>
  <c r="F355" i="16"/>
  <c r="E355" i="16"/>
  <c r="J354" i="16"/>
  <c r="I354" i="16"/>
  <c r="H354" i="16"/>
  <c r="F354" i="16"/>
  <c r="E354" i="16"/>
  <c r="J353" i="16"/>
  <c r="I353" i="16"/>
  <c r="H353" i="16"/>
  <c r="F353" i="16"/>
  <c r="E353" i="16"/>
  <c r="J352" i="16"/>
  <c r="I352" i="16"/>
  <c r="H352" i="16"/>
  <c r="F352" i="16"/>
  <c r="E352" i="16"/>
  <c r="J351" i="16"/>
  <c r="I351" i="16"/>
  <c r="H351" i="16"/>
  <c r="F351" i="16"/>
  <c r="E351" i="16"/>
  <c r="J350" i="16"/>
  <c r="I350" i="16"/>
  <c r="H350" i="16"/>
  <c r="F350" i="16"/>
  <c r="E350" i="16"/>
  <c r="J349" i="16"/>
  <c r="I349" i="16"/>
  <c r="H349" i="16"/>
  <c r="F349" i="16"/>
  <c r="E349" i="16"/>
  <c r="J348" i="16"/>
  <c r="I348" i="16"/>
  <c r="H348" i="16"/>
  <c r="F348" i="16"/>
  <c r="E348" i="16"/>
  <c r="J347" i="16"/>
  <c r="I347" i="16"/>
  <c r="H347" i="16"/>
  <c r="F347" i="16"/>
  <c r="E347" i="16"/>
  <c r="J346" i="16"/>
  <c r="I346" i="16"/>
  <c r="H346" i="16"/>
  <c r="F346" i="16"/>
  <c r="E346" i="16"/>
  <c r="J345" i="16"/>
  <c r="I345" i="16"/>
  <c r="H345" i="16"/>
  <c r="F345" i="16"/>
  <c r="E345" i="16"/>
  <c r="J344" i="16"/>
  <c r="I344" i="16"/>
  <c r="H344" i="16"/>
  <c r="F344" i="16"/>
  <c r="E344" i="16"/>
  <c r="J343" i="16"/>
  <c r="I343" i="16"/>
  <c r="H343" i="16"/>
  <c r="F343" i="16"/>
  <c r="E343" i="16"/>
  <c r="J342" i="16"/>
  <c r="I342" i="16"/>
  <c r="H342" i="16"/>
  <c r="F342" i="16"/>
  <c r="E342" i="16"/>
  <c r="J341" i="16"/>
  <c r="I341" i="16"/>
  <c r="H341" i="16"/>
  <c r="F341" i="16"/>
  <c r="E341" i="16"/>
  <c r="J340" i="16"/>
  <c r="I340" i="16"/>
  <c r="H340" i="16"/>
  <c r="F340" i="16"/>
  <c r="E340" i="16"/>
  <c r="J339" i="16"/>
  <c r="I339" i="16"/>
  <c r="H339" i="16"/>
  <c r="F339" i="16"/>
  <c r="E339" i="16"/>
  <c r="J338" i="16"/>
  <c r="I338" i="16"/>
  <c r="H338" i="16"/>
  <c r="F338" i="16"/>
  <c r="E338" i="16"/>
  <c r="J337" i="16"/>
  <c r="I337" i="16"/>
  <c r="H337" i="16"/>
  <c r="F337" i="16"/>
  <c r="E337" i="16"/>
  <c r="J336" i="16"/>
  <c r="I336" i="16"/>
  <c r="H336" i="16"/>
  <c r="F336" i="16"/>
  <c r="E336" i="16"/>
  <c r="J335" i="16"/>
  <c r="I335" i="16"/>
  <c r="H335" i="16"/>
  <c r="F335" i="16"/>
  <c r="E335" i="16"/>
  <c r="J334" i="16"/>
  <c r="I334" i="16"/>
  <c r="H334" i="16"/>
  <c r="F334" i="16"/>
  <c r="E334" i="16"/>
  <c r="J333" i="16"/>
  <c r="I333" i="16"/>
  <c r="H333" i="16"/>
  <c r="F333" i="16"/>
  <c r="E333" i="16"/>
  <c r="J332" i="16"/>
  <c r="I332" i="16"/>
  <c r="H332" i="16"/>
  <c r="F332" i="16"/>
  <c r="E332" i="16"/>
  <c r="J331" i="16"/>
  <c r="I331" i="16"/>
  <c r="H331" i="16"/>
  <c r="F331" i="16"/>
  <c r="E331" i="16"/>
  <c r="J330" i="16"/>
  <c r="I330" i="16"/>
  <c r="H330" i="16"/>
  <c r="F330" i="16"/>
  <c r="E330" i="16"/>
  <c r="J329" i="16"/>
  <c r="I329" i="16"/>
  <c r="H329" i="16"/>
  <c r="F329" i="16"/>
  <c r="E329" i="16"/>
  <c r="J328" i="16"/>
  <c r="I328" i="16"/>
  <c r="H328" i="16"/>
  <c r="F328" i="16"/>
  <c r="E328" i="16"/>
  <c r="J327" i="16"/>
  <c r="I327" i="16"/>
  <c r="H327" i="16"/>
  <c r="F327" i="16"/>
  <c r="E327" i="16"/>
  <c r="J326" i="16"/>
  <c r="I326" i="16"/>
  <c r="H326" i="16"/>
  <c r="F326" i="16"/>
  <c r="E326" i="16"/>
  <c r="J325" i="16"/>
  <c r="I325" i="16"/>
  <c r="H325" i="16"/>
  <c r="F325" i="16"/>
  <c r="E325" i="16"/>
  <c r="J324" i="16"/>
  <c r="I324" i="16"/>
  <c r="H324" i="16"/>
  <c r="F324" i="16"/>
  <c r="E324" i="16"/>
  <c r="J323" i="16"/>
  <c r="I323" i="16"/>
  <c r="H323" i="16"/>
  <c r="F323" i="16"/>
  <c r="E323" i="16"/>
  <c r="J322" i="16"/>
  <c r="I322" i="16"/>
  <c r="H322" i="16"/>
  <c r="F322" i="16"/>
  <c r="E322" i="16"/>
  <c r="J321" i="16"/>
  <c r="I321" i="16"/>
  <c r="H321" i="16"/>
  <c r="F321" i="16"/>
  <c r="E321" i="16"/>
  <c r="J320" i="16"/>
  <c r="I320" i="16"/>
  <c r="H320" i="16"/>
  <c r="F320" i="16"/>
  <c r="E320" i="16"/>
  <c r="J319" i="16"/>
  <c r="I319" i="16"/>
  <c r="H319" i="16"/>
  <c r="F319" i="16"/>
  <c r="E319" i="16"/>
  <c r="J318" i="16"/>
  <c r="I318" i="16"/>
  <c r="H318" i="16"/>
  <c r="F318" i="16"/>
  <c r="E318" i="16"/>
  <c r="J317" i="16"/>
  <c r="I317" i="16"/>
  <c r="H317" i="16"/>
  <c r="F317" i="16"/>
  <c r="E317" i="16"/>
  <c r="J316" i="16"/>
  <c r="I316" i="16"/>
  <c r="H316" i="16"/>
  <c r="F316" i="16"/>
  <c r="E316" i="16"/>
  <c r="J315" i="16"/>
  <c r="I315" i="16"/>
  <c r="H315" i="16"/>
  <c r="F315" i="16"/>
  <c r="E315" i="16"/>
  <c r="J314" i="16"/>
  <c r="I314" i="16"/>
  <c r="H314" i="16"/>
  <c r="F314" i="16"/>
  <c r="E314" i="16"/>
  <c r="J313" i="16"/>
  <c r="I313" i="16"/>
  <c r="H313" i="16"/>
  <c r="F313" i="16"/>
  <c r="E313" i="16"/>
  <c r="J312" i="16"/>
  <c r="I312" i="16"/>
  <c r="H312" i="16"/>
  <c r="F312" i="16"/>
  <c r="E312" i="16"/>
  <c r="J311" i="16"/>
  <c r="I311" i="16"/>
  <c r="H311" i="16"/>
  <c r="F311" i="16"/>
  <c r="E311" i="16"/>
  <c r="J310" i="16"/>
  <c r="I310" i="16"/>
  <c r="H310" i="16"/>
  <c r="F310" i="16"/>
  <c r="E310" i="16"/>
  <c r="J309" i="16"/>
  <c r="I309" i="16"/>
  <c r="H309" i="16"/>
  <c r="F309" i="16"/>
  <c r="E309" i="16"/>
  <c r="J308" i="16"/>
  <c r="I308" i="16"/>
  <c r="H308" i="16"/>
  <c r="F308" i="16"/>
  <c r="E308" i="16"/>
  <c r="J307" i="16"/>
  <c r="I307" i="16"/>
  <c r="H307" i="16"/>
  <c r="F307" i="16"/>
  <c r="E307" i="16"/>
  <c r="J306" i="16"/>
  <c r="I306" i="16"/>
  <c r="H306" i="16"/>
  <c r="F306" i="16"/>
  <c r="E306" i="16"/>
  <c r="J305" i="16"/>
  <c r="I305" i="16"/>
  <c r="H305" i="16"/>
  <c r="F305" i="16"/>
  <c r="E305" i="16"/>
  <c r="J304" i="16"/>
  <c r="I304" i="16"/>
  <c r="H304" i="16"/>
  <c r="F304" i="16"/>
  <c r="E304" i="16"/>
  <c r="J303" i="16"/>
  <c r="I303" i="16"/>
  <c r="H303" i="16"/>
  <c r="F303" i="16"/>
  <c r="E303" i="16"/>
  <c r="J302" i="16"/>
  <c r="I302" i="16"/>
  <c r="H302" i="16"/>
  <c r="F302" i="16"/>
  <c r="E302" i="16"/>
  <c r="J301" i="16"/>
  <c r="I301" i="16"/>
  <c r="H301" i="16"/>
  <c r="F301" i="16"/>
  <c r="E301" i="16"/>
  <c r="J300" i="16"/>
  <c r="I300" i="16"/>
  <c r="H300" i="16"/>
  <c r="F300" i="16"/>
  <c r="E300" i="16"/>
  <c r="J299" i="16"/>
  <c r="I299" i="16"/>
  <c r="H299" i="16"/>
  <c r="F299" i="16"/>
  <c r="E299" i="16"/>
  <c r="J298" i="16"/>
  <c r="I298" i="16"/>
  <c r="H298" i="16"/>
  <c r="F298" i="16"/>
  <c r="E298" i="16"/>
  <c r="J297" i="16"/>
  <c r="I297" i="16"/>
  <c r="H297" i="16"/>
  <c r="F297" i="16"/>
  <c r="E297" i="16"/>
  <c r="J296" i="16"/>
  <c r="I296" i="16"/>
  <c r="H296" i="16"/>
  <c r="F296" i="16"/>
  <c r="E296" i="16"/>
  <c r="J295" i="16"/>
  <c r="I295" i="16"/>
  <c r="H295" i="16"/>
  <c r="F295" i="16"/>
  <c r="E295" i="16"/>
  <c r="J294" i="16"/>
  <c r="I294" i="16"/>
  <c r="H294" i="16"/>
  <c r="F294" i="16"/>
  <c r="E294" i="16"/>
  <c r="J293" i="16"/>
  <c r="I293" i="16"/>
  <c r="H293" i="16"/>
  <c r="F293" i="16"/>
  <c r="E293" i="16"/>
  <c r="J292" i="16"/>
  <c r="I292" i="16"/>
  <c r="H292" i="16"/>
  <c r="F292" i="16"/>
  <c r="E292" i="16"/>
  <c r="J291" i="16"/>
  <c r="I291" i="16"/>
  <c r="H291" i="16"/>
  <c r="F291" i="16"/>
  <c r="E291" i="16"/>
  <c r="J290" i="16"/>
  <c r="I290" i="16"/>
  <c r="H290" i="16"/>
  <c r="F290" i="16"/>
  <c r="E290" i="16"/>
  <c r="J289" i="16"/>
  <c r="I289" i="16"/>
  <c r="H289" i="16"/>
  <c r="F289" i="16"/>
  <c r="E289" i="16"/>
  <c r="J288" i="16"/>
  <c r="I288" i="16"/>
  <c r="H288" i="16"/>
  <c r="F288" i="16"/>
  <c r="E288" i="16"/>
  <c r="J287" i="16"/>
  <c r="I287" i="16"/>
  <c r="H287" i="16"/>
  <c r="F287" i="16"/>
  <c r="E287" i="16"/>
  <c r="J286" i="16"/>
  <c r="I286" i="16"/>
  <c r="H286" i="16"/>
  <c r="F286" i="16"/>
  <c r="E286" i="16"/>
  <c r="J285" i="16"/>
  <c r="I285" i="16"/>
  <c r="H285" i="16"/>
  <c r="F285" i="16"/>
  <c r="E285" i="16"/>
  <c r="J284" i="16"/>
  <c r="I284" i="16"/>
  <c r="H284" i="16"/>
  <c r="F284" i="16"/>
  <c r="E284" i="16"/>
  <c r="J283" i="16"/>
  <c r="I283" i="16"/>
  <c r="H283" i="16"/>
  <c r="F283" i="16"/>
  <c r="E283" i="16"/>
  <c r="J282" i="16"/>
  <c r="I282" i="16"/>
  <c r="H282" i="16"/>
  <c r="F282" i="16"/>
  <c r="E282" i="16"/>
  <c r="J281" i="16"/>
  <c r="I281" i="16"/>
  <c r="H281" i="16"/>
  <c r="F281" i="16"/>
  <c r="E281" i="16"/>
  <c r="J280" i="16"/>
  <c r="I280" i="16"/>
  <c r="H280" i="16"/>
  <c r="F280" i="16"/>
  <c r="E280" i="16"/>
  <c r="J279" i="16"/>
  <c r="I279" i="16"/>
  <c r="H279" i="16"/>
  <c r="F279" i="16"/>
  <c r="E279" i="16"/>
  <c r="J278" i="16"/>
  <c r="I278" i="16"/>
  <c r="H278" i="16"/>
  <c r="F278" i="16"/>
  <c r="E278" i="16"/>
  <c r="J277" i="16"/>
  <c r="I277" i="16"/>
  <c r="H277" i="16"/>
  <c r="F277" i="16"/>
  <c r="E277" i="16"/>
  <c r="J276" i="16"/>
  <c r="I276" i="16"/>
  <c r="H276" i="16"/>
  <c r="F276" i="16"/>
  <c r="E276" i="16"/>
  <c r="J275" i="16"/>
  <c r="I275" i="16"/>
  <c r="H275" i="16"/>
  <c r="F275" i="16"/>
  <c r="E275" i="16"/>
  <c r="J274" i="16"/>
  <c r="I274" i="16"/>
  <c r="H274" i="16"/>
  <c r="F274" i="16"/>
  <c r="E274" i="16"/>
  <c r="J273" i="16"/>
  <c r="I273" i="16"/>
  <c r="H273" i="16"/>
  <c r="F273" i="16"/>
  <c r="E273" i="16"/>
  <c r="J272" i="16"/>
  <c r="I272" i="16"/>
  <c r="H272" i="16"/>
  <c r="F272" i="16"/>
  <c r="E272" i="16"/>
  <c r="J271" i="16"/>
  <c r="I271" i="16"/>
  <c r="H271" i="16"/>
  <c r="F271" i="16"/>
  <c r="E271" i="16"/>
  <c r="J270" i="16"/>
  <c r="I270" i="16"/>
  <c r="H270" i="16"/>
  <c r="F270" i="16"/>
  <c r="E270" i="16"/>
  <c r="J269" i="16"/>
  <c r="I269" i="16"/>
  <c r="H269" i="16"/>
  <c r="F269" i="16"/>
  <c r="E269" i="16"/>
  <c r="J268" i="16"/>
  <c r="I268" i="16"/>
  <c r="H268" i="16"/>
  <c r="F268" i="16"/>
  <c r="E268" i="16"/>
  <c r="J267" i="16"/>
  <c r="I267" i="16"/>
  <c r="H267" i="16"/>
  <c r="F267" i="16"/>
  <c r="E267" i="16"/>
  <c r="J266" i="16"/>
  <c r="I266" i="16"/>
  <c r="H266" i="16"/>
  <c r="F266" i="16"/>
  <c r="E266" i="16"/>
  <c r="J265" i="16"/>
  <c r="I265" i="16"/>
  <c r="H265" i="16"/>
  <c r="F265" i="16"/>
  <c r="E265" i="16"/>
  <c r="J264" i="16"/>
  <c r="I264" i="16"/>
  <c r="H264" i="16"/>
  <c r="F264" i="16"/>
  <c r="E264" i="16"/>
  <c r="J263" i="16"/>
  <c r="I263" i="16"/>
  <c r="H263" i="16"/>
  <c r="F263" i="16"/>
  <c r="E263" i="16"/>
  <c r="J262" i="16"/>
  <c r="I262" i="16"/>
  <c r="H262" i="16"/>
  <c r="F262" i="16"/>
  <c r="E262" i="16"/>
  <c r="J261" i="16"/>
  <c r="I261" i="16"/>
  <c r="H261" i="16"/>
  <c r="F261" i="16"/>
  <c r="E261" i="16"/>
  <c r="J260" i="16"/>
  <c r="I260" i="16"/>
  <c r="H260" i="16"/>
  <c r="F260" i="16"/>
  <c r="E260" i="16"/>
  <c r="J259" i="16"/>
  <c r="I259" i="16"/>
  <c r="H259" i="16"/>
  <c r="F259" i="16"/>
  <c r="E259" i="16"/>
  <c r="J258" i="16"/>
  <c r="I258" i="16"/>
  <c r="H258" i="16"/>
  <c r="F258" i="16"/>
  <c r="E258" i="16"/>
  <c r="J257" i="16"/>
  <c r="I257" i="16"/>
  <c r="H257" i="16"/>
  <c r="F257" i="16"/>
  <c r="E257" i="16"/>
  <c r="J256" i="16"/>
  <c r="I256" i="16"/>
  <c r="H256" i="16"/>
  <c r="F256" i="16"/>
  <c r="E256" i="16"/>
  <c r="J255" i="16"/>
  <c r="I255" i="16"/>
  <c r="H255" i="16"/>
  <c r="F255" i="16"/>
  <c r="E255" i="16"/>
  <c r="J254" i="16"/>
  <c r="I254" i="16"/>
  <c r="H254" i="16"/>
  <c r="F254" i="16"/>
  <c r="E254" i="16"/>
  <c r="J253" i="16"/>
  <c r="I253" i="16"/>
  <c r="H253" i="16"/>
  <c r="F253" i="16"/>
  <c r="E253" i="16"/>
  <c r="J252" i="16"/>
  <c r="I252" i="16"/>
  <c r="H252" i="16"/>
  <c r="F252" i="16"/>
  <c r="E252" i="16"/>
  <c r="J251" i="16"/>
  <c r="I251" i="16"/>
  <c r="H251" i="16"/>
  <c r="F251" i="16"/>
  <c r="E251" i="16"/>
  <c r="J250" i="16"/>
  <c r="I250" i="16"/>
  <c r="H250" i="16"/>
  <c r="F250" i="16"/>
  <c r="E250" i="16"/>
  <c r="J249" i="16"/>
  <c r="I249" i="16"/>
  <c r="H249" i="16"/>
  <c r="F249" i="16"/>
  <c r="E249" i="16"/>
  <c r="J248" i="16"/>
  <c r="I248" i="16"/>
  <c r="H248" i="16"/>
  <c r="F248" i="16"/>
  <c r="E248" i="16"/>
  <c r="J247" i="16"/>
  <c r="I247" i="16"/>
  <c r="H247" i="16"/>
  <c r="F247" i="16"/>
  <c r="E247" i="16"/>
  <c r="J246" i="16"/>
  <c r="I246" i="16"/>
  <c r="H246" i="16"/>
  <c r="F246" i="16"/>
  <c r="E246" i="16"/>
  <c r="J245" i="16"/>
  <c r="I245" i="16"/>
  <c r="H245" i="16"/>
  <c r="F245" i="16"/>
  <c r="E245" i="16"/>
  <c r="J244" i="16"/>
  <c r="I244" i="16"/>
  <c r="H244" i="16"/>
  <c r="F244" i="16"/>
  <c r="E244" i="16"/>
  <c r="J243" i="16"/>
  <c r="I243" i="16"/>
  <c r="H243" i="16"/>
  <c r="F243" i="16"/>
  <c r="E243" i="16"/>
  <c r="J242" i="16"/>
  <c r="I242" i="16"/>
  <c r="H242" i="16"/>
  <c r="F242" i="16"/>
  <c r="E242" i="16"/>
  <c r="J241" i="16"/>
  <c r="I241" i="16"/>
  <c r="H241" i="16"/>
  <c r="F241" i="16"/>
  <c r="E241" i="16"/>
  <c r="J240" i="16"/>
  <c r="I240" i="16"/>
  <c r="H240" i="16"/>
  <c r="F240" i="16"/>
  <c r="E240" i="16"/>
  <c r="J239" i="16"/>
  <c r="I239" i="16"/>
  <c r="H239" i="16"/>
  <c r="F239" i="16"/>
  <c r="E239" i="16"/>
  <c r="J238" i="16"/>
  <c r="I238" i="16"/>
  <c r="H238" i="16"/>
  <c r="F238" i="16"/>
  <c r="E238" i="16"/>
  <c r="J237" i="16"/>
  <c r="I237" i="16"/>
  <c r="H237" i="16"/>
  <c r="F237" i="16"/>
  <c r="E237" i="16"/>
  <c r="J236" i="16"/>
  <c r="I236" i="16"/>
  <c r="H236" i="16"/>
  <c r="F236" i="16"/>
  <c r="E236" i="16"/>
  <c r="J235" i="16"/>
  <c r="I235" i="16"/>
  <c r="H235" i="16"/>
  <c r="F235" i="16"/>
  <c r="E235" i="16"/>
  <c r="J234" i="16"/>
  <c r="I234" i="16"/>
  <c r="H234" i="16"/>
  <c r="F234" i="16"/>
  <c r="E234" i="16"/>
  <c r="J233" i="16"/>
  <c r="I233" i="16"/>
  <c r="H233" i="16"/>
  <c r="F233" i="16"/>
  <c r="E233" i="16"/>
  <c r="J232" i="16"/>
  <c r="I232" i="16"/>
  <c r="H232" i="16"/>
  <c r="F232" i="16"/>
  <c r="E232" i="16"/>
  <c r="J231" i="16"/>
  <c r="I231" i="16"/>
  <c r="H231" i="16"/>
  <c r="F231" i="16"/>
  <c r="E231" i="16"/>
  <c r="J230" i="16"/>
  <c r="I230" i="16"/>
  <c r="H230" i="16"/>
  <c r="F230" i="16"/>
  <c r="E230" i="16"/>
  <c r="J229" i="16"/>
  <c r="I229" i="16"/>
  <c r="H229" i="16"/>
  <c r="F229" i="16"/>
  <c r="E229" i="16"/>
  <c r="J228" i="16"/>
  <c r="I228" i="16"/>
  <c r="H228" i="16"/>
  <c r="F228" i="16"/>
  <c r="E228" i="16"/>
  <c r="J227" i="16"/>
  <c r="I227" i="16"/>
  <c r="H227" i="16"/>
  <c r="F227" i="16"/>
  <c r="E227" i="16"/>
  <c r="J226" i="16"/>
  <c r="I226" i="16"/>
  <c r="H226" i="16"/>
  <c r="F226" i="16"/>
  <c r="E226" i="16"/>
  <c r="J225" i="16"/>
  <c r="I225" i="16"/>
  <c r="H225" i="16"/>
  <c r="F225" i="16"/>
  <c r="E225" i="16"/>
  <c r="J224" i="16"/>
  <c r="I224" i="16"/>
  <c r="H224" i="16"/>
  <c r="F224" i="16"/>
  <c r="E224" i="16"/>
  <c r="J223" i="16"/>
  <c r="I223" i="16"/>
  <c r="H223" i="16"/>
  <c r="F223" i="16"/>
  <c r="E223" i="16"/>
  <c r="J222" i="16"/>
  <c r="I222" i="16"/>
  <c r="H222" i="16"/>
  <c r="F222" i="16"/>
  <c r="E222" i="16"/>
  <c r="J221" i="16"/>
  <c r="I221" i="16"/>
  <c r="H221" i="16"/>
  <c r="F221" i="16"/>
  <c r="E221" i="16"/>
  <c r="J220" i="16"/>
  <c r="I220" i="16"/>
  <c r="H220" i="16"/>
  <c r="F220" i="16"/>
  <c r="E220" i="16"/>
  <c r="J219" i="16"/>
  <c r="I219" i="16"/>
  <c r="H219" i="16"/>
  <c r="F219" i="16"/>
  <c r="E219" i="16"/>
  <c r="J218" i="16"/>
  <c r="I218" i="16"/>
  <c r="H218" i="16"/>
  <c r="F218" i="16"/>
  <c r="E218" i="16"/>
  <c r="J217" i="16"/>
  <c r="I217" i="16"/>
  <c r="H217" i="16"/>
  <c r="F217" i="16"/>
  <c r="E217" i="16"/>
  <c r="J216" i="16"/>
  <c r="I216" i="16"/>
  <c r="H216" i="16"/>
  <c r="F216" i="16"/>
  <c r="E216" i="16"/>
  <c r="J215" i="16"/>
  <c r="I215" i="16"/>
  <c r="H215" i="16"/>
  <c r="F215" i="16"/>
  <c r="E215" i="16"/>
  <c r="J214" i="16"/>
  <c r="I214" i="16"/>
  <c r="H214" i="16"/>
  <c r="F214" i="16"/>
  <c r="E214" i="16"/>
  <c r="J213" i="16"/>
  <c r="I213" i="16"/>
  <c r="H213" i="16"/>
  <c r="F213" i="16"/>
  <c r="E213" i="16"/>
  <c r="J212" i="16"/>
  <c r="I212" i="16"/>
  <c r="H212" i="16"/>
  <c r="F212" i="16"/>
  <c r="E212" i="16"/>
  <c r="J211" i="16"/>
  <c r="I211" i="16"/>
  <c r="H211" i="16"/>
  <c r="F211" i="16"/>
  <c r="E211" i="16"/>
  <c r="J210" i="16"/>
  <c r="I210" i="16"/>
  <c r="H210" i="16"/>
  <c r="F210" i="16"/>
  <c r="E210" i="16"/>
  <c r="J209" i="16"/>
  <c r="I209" i="16"/>
  <c r="H209" i="16"/>
  <c r="F209" i="16"/>
  <c r="E209" i="16"/>
  <c r="J208" i="16"/>
  <c r="I208" i="16"/>
  <c r="H208" i="16"/>
  <c r="F208" i="16"/>
  <c r="E208" i="16"/>
  <c r="J207" i="16"/>
  <c r="I207" i="16"/>
  <c r="H207" i="16"/>
  <c r="F207" i="16"/>
  <c r="E207" i="16"/>
  <c r="J206" i="16"/>
  <c r="I206" i="16"/>
  <c r="H206" i="16"/>
  <c r="F206" i="16"/>
  <c r="E206" i="16"/>
  <c r="J205" i="16"/>
  <c r="I205" i="16"/>
  <c r="H205" i="16"/>
  <c r="F205" i="16"/>
  <c r="E205" i="16"/>
  <c r="J204" i="16"/>
  <c r="I204" i="16"/>
  <c r="H204" i="16"/>
  <c r="F204" i="16"/>
  <c r="E204" i="16"/>
  <c r="J203" i="16"/>
  <c r="I203" i="16"/>
  <c r="H203" i="16"/>
  <c r="F203" i="16"/>
  <c r="E203" i="16"/>
  <c r="J202" i="16"/>
  <c r="I202" i="16"/>
  <c r="H202" i="16"/>
  <c r="F202" i="16"/>
  <c r="E202" i="16"/>
  <c r="J201" i="16"/>
  <c r="I201" i="16"/>
  <c r="H201" i="16"/>
  <c r="F201" i="16"/>
  <c r="E201" i="16"/>
  <c r="J200" i="16"/>
  <c r="I200" i="16"/>
  <c r="H200" i="16"/>
  <c r="F200" i="16"/>
  <c r="E200" i="16"/>
  <c r="J199" i="16"/>
  <c r="I199" i="16"/>
  <c r="H199" i="16"/>
  <c r="F199" i="16"/>
  <c r="E199" i="16"/>
  <c r="J198" i="16"/>
  <c r="I198" i="16"/>
  <c r="H198" i="16"/>
  <c r="F198" i="16"/>
  <c r="E198" i="16"/>
  <c r="J197" i="16"/>
  <c r="I197" i="16"/>
  <c r="H197" i="16"/>
  <c r="F197" i="16"/>
  <c r="E197" i="16"/>
  <c r="J196" i="16"/>
  <c r="I196" i="16"/>
  <c r="H196" i="16"/>
  <c r="F196" i="16"/>
  <c r="E196" i="16"/>
  <c r="J195" i="16"/>
  <c r="I195" i="16"/>
  <c r="H195" i="16"/>
  <c r="F195" i="16"/>
  <c r="E195" i="16"/>
  <c r="J194" i="16"/>
  <c r="I194" i="16"/>
  <c r="H194" i="16"/>
  <c r="F194" i="16"/>
  <c r="E194" i="16"/>
  <c r="J193" i="16"/>
  <c r="I193" i="16"/>
  <c r="H193" i="16"/>
  <c r="F193" i="16"/>
  <c r="E193" i="16"/>
  <c r="J192" i="16"/>
  <c r="I192" i="16"/>
  <c r="H192" i="16"/>
  <c r="F192" i="16"/>
  <c r="E192" i="16"/>
  <c r="J191" i="16"/>
  <c r="I191" i="16"/>
  <c r="H191" i="16"/>
  <c r="F191" i="16"/>
  <c r="E191" i="16"/>
  <c r="J190" i="16"/>
  <c r="I190" i="16"/>
  <c r="H190" i="16"/>
  <c r="F190" i="16"/>
  <c r="E190" i="16"/>
  <c r="J189" i="16"/>
  <c r="I189" i="16"/>
  <c r="H189" i="16"/>
  <c r="F189" i="16"/>
  <c r="E189" i="16"/>
  <c r="J188" i="16"/>
  <c r="I188" i="16"/>
  <c r="H188" i="16"/>
  <c r="F188" i="16"/>
  <c r="E188" i="16"/>
  <c r="J187" i="16"/>
  <c r="I187" i="16"/>
  <c r="H187" i="16"/>
  <c r="F187" i="16"/>
  <c r="E187" i="16"/>
  <c r="J186" i="16"/>
  <c r="I186" i="16"/>
  <c r="H186" i="16"/>
  <c r="F186" i="16"/>
  <c r="E186" i="16"/>
  <c r="J185" i="16"/>
  <c r="I185" i="16"/>
  <c r="H185" i="16"/>
  <c r="F185" i="16"/>
  <c r="E185" i="16"/>
  <c r="J184" i="16"/>
  <c r="I184" i="16"/>
  <c r="H184" i="16"/>
  <c r="F184" i="16"/>
  <c r="E184" i="16"/>
  <c r="J183" i="16"/>
  <c r="I183" i="16"/>
  <c r="H183" i="16"/>
  <c r="F183" i="16"/>
  <c r="E183" i="16"/>
  <c r="J182" i="16"/>
  <c r="I182" i="16"/>
  <c r="H182" i="16"/>
  <c r="F182" i="16"/>
  <c r="E182" i="16"/>
  <c r="J181" i="16"/>
  <c r="I181" i="16"/>
  <c r="H181" i="16"/>
  <c r="F181" i="16"/>
  <c r="E181" i="16"/>
  <c r="J180" i="16"/>
  <c r="I180" i="16"/>
  <c r="H180" i="16"/>
  <c r="F180" i="16"/>
  <c r="E180" i="16"/>
  <c r="J179" i="16"/>
  <c r="I179" i="16"/>
  <c r="H179" i="16"/>
  <c r="F179" i="16"/>
  <c r="E179" i="16"/>
  <c r="J178" i="16"/>
  <c r="I178" i="16"/>
  <c r="H178" i="16"/>
  <c r="F178" i="16"/>
  <c r="E178" i="16"/>
  <c r="J177" i="16"/>
  <c r="I177" i="16"/>
  <c r="H177" i="16"/>
  <c r="F177" i="16"/>
  <c r="E177" i="16"/>
  <c r="J176" i="16"/>
  <c r="I176" i="16"/>
  <c r="H176" i="16"/>
  <c r="F176" i="16"/>
  <c r="E176" i="16"/>
  <c r="J175" i="16"/>
  <c r="I175" i="16"/>
  <c r="H175" i="16"/>
  <c r="F175" i="16"/>
  <c r="E175" i="16"/>
  <c r="J174" i="16"/>
  <c r="I174" i="16"/>
  <c r="H174" i="16"/>
  <c r="F174" i="16"/>
  <c r="E174" i="16"/>
  <c r="J173" i="16"/>
  <c r="I173" i="16"/>
  <c r="H173" i="16"/>
  <c r="F173" i="16"/>
  <c r="E173" i="16"/>
  <c r="J172" i="16"/>
  <c r="I172" i="16"/>
  <c r="H172" i="16"/>
  <c r="F172" i="16"/>
  <c r="E172" i="16"/>
  <c r="J171" i="16"/>
  <c r="I171" i="16"/>
  <c r="H171" i="16"/>
  <c r="F171" i="16"/>
  <c r="E171" i="16"/>
  <c r="J170" i="16"/>
  <c r="I170" i="16"/>
  <c r="H170" i="16"/>
  <c r="F170" i="16"/>
  <c r="E170" i="16"/>
  <c r="J169" i="16"/>
  <c r="I169" i="16"/>
  <c r="H169" i="16"/>
  <c r="F169" i="16"/>
  <c r="E169" i="16"/>
  <c r="J168" i="16"/>
  <c r="I168" i="16"/>
  <c r="H168" i="16"/>
  <c r="F168" i="16"/>
  <c r="E168" i="16"/>
  <c r="J167" i="16"/>
  <c r="I167" i="16"/>
  <c r="H167" i="16"/>
  <c r="F167" i="16"/>
  <c r="E167" i="16"/>
  <c r="J166" i="16"/>
  <c r="I166" i="16"/>
  <c r="H166" i="16"/>
  <c r="F166" i="16"/>
  <c r="E166" i="16"/>
  <c r="J165" i="16"/>
  <c r="I165" i="16"/>
  <c r="H165" i="16"/>
  <c r="F165" i="16"/>
  <c r="E165" i="16"/>
  <c r="J164" i="16"/>
  <c r="I164" i="16"/>
  <c r="H164" i="16"/>
  <c r="F164" i="16"/>
  <c r="E164" i="16"/>
  <c r="J163" i="16"/>
  <c r="I163" i="16"/>
  <c r="H163" i="16"/>
  <c r="F163" i="16"/>
  <c r="E163" i="16"/>
  <c r="J162" i="16"/>
  <c r="I162" i="16"/>
  <c r="H162" i="16"/>
  <c r="F162" i="16"/>
  <c r="E162" i="16"/>
  <c r="J161" i="16"/>
  <c r="I161" i="16"/>
  <c r="H161" i="16"/>
  <c r="F161" i="16"/>
  <c r="E161" i="16"/>
  <c r="J160" i="16"/>
  <c r="I160" i="16"/>
  <c r="H160" i="16"/>
  <c r="F160" i="16"/>
  <c r="E160" i="16"/>
  <c r="J159" i="16"/>
  <c r="I159" i="16"/>
  <c r="H159" i="16"/>
  <c r="F159" i="16"/>
  <c r="E159" i="16"/>
  <c r="J158" i="16"/>
  <c r="I158" i="16"/>
  <c r="H158" i="16"/>
  <c r="F158" i="16"/>
  <c r="E158" i="16"/>
  <c r="J157" i="16"/>
  <c r="I157" i="16"/>
  <c r="H157" i="16"/>
  <c r="F157" i="16"/>
  <c r="E157" i="16"/>
  <c r="J156" i="16"/>
  <c r="I156" i="16"/>
  <c r="H156" i="16"/>
  <c r="F156" i="16"/>
  <c r="E156" i="16"/>
  <c r="J155" i="16"/>
  <c r="I155" i="16"/>
  <c r="H155" i="16"/>
  <c r="F155" i="16"/>
  <c r="E155" i="16"/>
  <c r="J154" i="16"/>
  <c r="I154" i="16"/>
  <c r="H154" i="16"/>
  <c r="F154" i="16"/>
  <c r="E154" i="16"/>
  <c r="J153" i="16"/>
  <c r="I153" i="16"/>
  <c r="H153" i="16"/>
  <c r="F153" i="16"/>
  <c r="E153" i="16"/>
  <c r="J152" i="16"/>
  <c r="I152" i="16"/>
  <c r="H152" i="16"/>
  <c r="F152" i="16"/>
  <c r="E152" i="16"/>
  <c r="J151" i="16"/>
  <c r="I151" i="16"/>
  <c r="H151" i="16"/>
  <c r="F151" i="16"/>
  <c r="E151" i="16"/>
  <c r="J150" i="16"/>
  <c r="I150" i="16"/>
  <c r="H150" i="16"/>
  <c r="F150" i="16"/>
  <c r="E150" i="16"/>
  <c r="J149" i="16"/>
  <c r="I149" i="16"/>
  <c r="H149" i="16"/>
  <c r="F149" i="16"/>
  <c r="E149" i="16"/>
  <c r="J148" i="16"/>
  <c r="I148" i="16"/>
  <c r="H148" i="16"/>
  <c r="F148" i="16"/>
  <c r="E148" i="16"/>
  <c r="J147" i="16"/>
  <c r="I147" i="16"/>
  <c r="H147" i="16"/>
  <c r="F147" i="16"/>
  <c r="E147" i="16"/>
  <c r="J146" i="16"/>
  <c r="I146" i="16"/>
  <c r="H146" i="16"/>
  <c r="F146" i="16"/>
  <c r="E146" i="16"/>
  <c r="J145" i="16"/>
  <c r="I145" i="16"/>
  <c r="H145" i="16"/>
  <c r="F145" i="16"/>
  <c r="E145" i="16"/>
  <c r="J144" i="16"/>
  <c r="I144" i="16"/>
  <c r="H144" i="16"/>
  <c r="F144" i="16"/>
  <c r="E144" i="16"/>
  <c r="J143" i="16"/>
  <c r="I143" i="16"/>
  <c r="H143" i="16"/>
  <c r="F143" i="16"/>
  <c r="E143" i="16"/>
  <c r="J142" i="16"/>
  <c r="I142" i="16"/>
  <c r="H142" i="16"/>
  <c r="F142" i="16"/>
  <c r="E142" i="16"/>
  <c r="J141" i="16"/>
  <c r="I141" i="16"/>
  <c r="H141" i="16"/>
  <c r="F141" i="16"/>
  <c r="E141" i="16"/>
  <c r="J140" i="16"/>
  <c r="I140" i="16"/>
  <c r="H140" i="16"/>
  <c r="F140" i="16"/>
  <c r="E140" i="16"/>
  <c r="J139" i="16"/>
  <c r="I139" i="16"/>
  <c r="H139" i="16"/>
  <c r="F139" i="16"/>
  <c r="E139" i="16"/>
  <c r="J138" i="16"/>
  <c r="I138" i="16"/>
  <c r="H138" i="16"/>
  <c r="F138" i="16"/>
  <c r="E138" i="16"/>
  <c r="J137" i="16"/>
  <c r="I137" i="16"/>
  <c r="H137" i="16"/>
  <c r="F137" i="16"/>
  <c r="E137" i="16"/>
  <c r="J136" i="16"/>
  <c r="I136" i="16"/>
  <c r="H136" i="16"/>
  <c r="F136" i="16"/>
  <c r="E136" i="16"/>
  <c r="J135" i="16"/>
  <c r="I135" i="16"/>
  <c r="H135" i="16"/>
  <c r="F135" i="16"/>
  <c r="E135" i="16"/>
  <c r="J134" i="16"/>
  <c r="I134" i="16"/>
  <c r="H134" i="16"/>
  <c r="F134" i="16"/>
  <c r="E134" i="16"/>
  <c r="J133" i="16"/>
  <c r="I133" i="16"/>
  <c r="H133" i="16"/>
  <c r="F133" i="16"/>
  <c r="E133" i="16"/>
  <c r="J132" i="16"/>
  <c r="I132" i="16"/>
  <c r="H132" i="16"/>
  <c r="F132" i="16"/>
  <c r="E132" i="16"/>
  <c r="J131" i="16"/>
  <c r="I131" i="16"/>
  <c r="H131" i="16"/>
  <c r="F131" i="16"/>
  <c r="E131" i="16"/>
  <c r="J130" i="16"/>
  <c r="I130" i="16"/>
  <c r="H130" i="16"/>
  <c r="F130" i="16"/>
  <c r="E130" i="16"/>
  <c r="J129" i="16"/>
  <c r="I129" i="16"/>
  <c r="H129" i="16"/>
  <c r="F129" i="16"/>
  <c r="E129" i="16"/>
  <c r="J128" i="16"/>
  <c r="I128" i="16"/>
  <c r="H128" i="16"/>
  <c r="F128" i="16"/>
  <c r="E128" i="16"/>
  <c r="J127" i="16"/>
  <c r="I127" i="16"/>
  <c r="H127" i="16"/>
  <c r="F127" i="16"/>
  <c r="E127" i="16"/>
  <c r="J126" i="16"/>
  <c r="I126" i="16"/>
  <c r="H126" i="16"/>
  <c r="F126" i="16"/>
  <c r="E126" i="16"/>
  <c r="J125" i="16"/>
  <c r="I125" i="16"/>
  <c r="H125" i="16"/>
  <c r="F125" i="16"/>
  <c r="E125" i="16"/>
  <c r="J124" i="16"/>
  <c r="I124" i="16"/>
  <c r="H124" i="16"/>
  <c r="F124" i="16"/>
  <c r="E124" i="16"/>
  <c r="J123" i="16"/>
  <c r="I123" i="16"/>
  <c r="H123" i="16"/>
  <c r="F123" i="16"/>
  <c r="E123" i="16"/>
  <c r="J122" i="16"/>
  <c r="I122" i="16"/>
  <c r="H122" i="16"/>
  <c r="F122" i="16"/>
  <c r="E122" i="16"/>
  <c r="J121" i="16"/>
  <c r="I121" i="16"/>
  <c r="H121" i="16"/>
  <c r="F121" i="16"/>
  <c r="E121" i="16"/>
  <c r="J120" i="16"/>
  <c r="I120" i="16"/>
  <c r="H120" i="16"/>
  <c r="F120" i="16"/>
  <c r="E120" i="16"/>
  <c r="J119" i="16"/>
  <c r="I119" i="16"/>
  <c r="H119" i="16"/>
  <c r="F119" i="16"/>
  <c r="E119" i="16"/>
  <c r="J118" i="16"/>
  <c r="I118" i="16"/>
  <c r="H118" i="16"/>
  <c r="F118" i="16"/>
  <c r="E118" i="16"/>
  <c r="J117" i="16"/>
  <c r="I117" i="16"/>
  <c r="H117" i="16"/>
  <c r="F117" i="16"/>
  <c r="E117" i="16"/>
  <c r="J116" i="16"/>
  <c r="I116" i="16"/>
  <c r="H116" i="16"/>
  <c r="F116" i="16"/>
  <c r="E116" i="16"/>
  <c r="J115" i="16"/>
  <c r="I115" i="16"/>
  <c r="H115" i="16"/>
  <c r="F115" i="16"/>
  <c r="E115" i="16"/>
  <c r="J114" i="16"/>
  <c r="I114" i="16"/>
  <c r="H114" i="16"/>
  <c r="F114" i="16"/>
  <c r="E114" i="16"/>
  <c r="J113" i="16"/>
  <c r="I113" i="16"/>
  <c r="H113" i="16"/>
  <c r="F113" i="16"/>
  <c r="E113" i="16"/>
  <c r="J112" i="16"/>
  <c r="I112" i="16"/>
  <c r="H112" i="16"/>
  <c r="F112" i="16"/>
  <c r="E112" i="16"/>
  <c r="J111" i="16"/>
  <c r="I111" i="16"/>
  <c r="H111" i="16"/>
  <c r="F111" i="16"/>
  <c r="E111" i="16"/>
  <c r="J110" i="16"/>
  <c r="I110" i="16"/>
  <c r="H110" i="16"/>
  <c r="F110" i="16"/>
  <c r="E110" i="16"/>
  <c r="J109" i="16"/>
  <c r="I109" i="16"/>
  <c r="H109" i="16"/>
  <c r="F109" i="16"/>
  <c r="E109" i="16"/>
  <c r="J108" i="16"/>
  <c r="I108" i="16"/>
  <c r="H108" i="16"/>
  <c r="F108" i="16"/>
  <c r="E108" i="16"/>
  <c r="J107" i="16"/>
  <c r="I107" i="16"/>
  <c r="H107" i="16"/>
  <c r="F107" i="16"/>
  <c r="E107" i="16"/>
  <c r="J106" i="16"/>
  <c r="I106" i="16"/>
  <c r="H106" i="16"/>
  <c r="F106" i="16"/>
  <c r="E106" i="16"/>
  <c r="J105" i="16"/>
  <c r="I105" i="16"/>
  <c r="H105" i="16"/>
  <c r="F105" i="16"/>
  <c r="E105" i="16"/>
  <c r="J104" i="16"/>
  <c r="I104" i="16"/>
  <c r="H104" i="16"/>
  <c r="F104" i="16"/>
  <c r="E104" i="16"/>
  <c r="J103" i="16"/>
  <c r="I103" i="16"/>
  <c r="H103" i="16"/>
  <c r="F103" i="16"/>
  <c r="E103" i="16"/>
  <c r="J102" i="16"/>
  <c r="I102" i="16"/>
  <c r="H102" i="16"/>
  <c r="F102" i="16"/>
  <c r="E102" i="16"/>
  <c r="J101" i="16"/>
  <c r="I101" i="16"/>
  <c r="H101" i="16"/>
  <c r="F101" i="16"/>
  <c r="E101" i="16"/>
  <c r="J100" i="16"/>
  <c r="I100" i="16"/>
  <c r="H100" i="16"/>
  <c r="F100" i="16"/>
  <c r="E100" i="16"/>
  <c r="J99" i="16"/>
  <c r="I99" i="16"/>
  <c r="H99" i="16"/>
  <c r="F99" i="16"/>
  <c r="E99" i="16"/>
  <c r="J98" i="16"/>
  <c r="I98" i="16"/>
  <c r="H98" i="16"/>
  <c r="F98" i="16"/>
  <c r="E98" i="16"/>
  <c r="J97" i="16"/>
  <c r="I97" i="16"/>
  <c r="H97" i="16"/>
  <c r="F97" i="16"/>
  <c r="E97" i="16"/>
  <c r="J96" i="16"/>
  <c r="I96" i="16"/>
  <c r="H96" i="16"/>
  <c r="F96" i="16"/>
  <c r="E96" i="16"/>
  <c r="J95" i="16"/>
  <c r="I95" i="16"/>
  <c r="H95" i="16"/>
  <c r="F95" i="16"/>
  <c r="E95" i="16"/>
  <c r="J94" i="16"/>
  <c r="I94" i="16"/>
  <c r="H94" i="16"/>
  <c r="F94" i="16"/>
  <c r="E94" i="16"/>
  <c r="J93" i="16"/>
  <c r="I93" i="16"/>
  <c r="H93" i="16"/>
  <c r="F93" i="16"/>
  <c r="E93" i="16"/>
  <c r="J92" i="16"/>
  <c r="I92" i="16"/>
  <c r="H92" i="16"/>
  <c r="F92" i="16"/>
  <c r="E92" i="16"/>
  <c r="J91" i="16"/>
  <c r="I91" i="16"/>
  <c r="H91" i="16"/>
  <c r="F91" i="16"/>
  <c r="E91" i="16"/>
  <c r="J90" i="16"/>
  <c r="I90" i="16"/>
  <c r="H90" i="16"/>
  <c r="F90" i="16"/>
  <c r="E90" i="16"/>
  <c r="J89" i="16"/>
  <c r="I89" i="16"/>
  <c r="H89" i="16"/>
  <c r="F89" i="16"/>
  <c r="E89" i="16"/>
  <c r="J88" i="16"/>
  <c r="I88" i="16"/>
  <c r="H88" i="16"/>
  <c r="F88" i="16"/>
  <c r="E88" i="16"/>
  <c r="J87" i="16"/>
  <c r="I87" i="16"/>
  <c r="H87" i="16"/>
  <c r="F87" i="16"/>
  <c r="E87" i="16"/>
  <c r="J86" i="16"/>
  <c r="I86" i="16"/>
  <c r="H86" i="16"/>
  <c r="F86" i="16"/>
  <c r="E86" i="16"/>
  <c r="J85" i="16"/>
  <c r="I85" i="16"/>
  <c r="H85" i="16"/>
  <c r="F85" i="16"/>
  <c r="E85" i="16"/>
  <c r="J84" i="16"/>
  <c r="I84" i="16"/>
  <c r="H84" i="16"/>
  <c r="F84" i="16"/>
  <c r="E84" i="16"/>
  <c r="J83" i="16"/>
  <c r="I83" i="16"/>
  <c r="H83" i="16"/>
  <c r="F83" i="16"/>
  <c r="E83" i="16"/>
  <c r="J82" i="16"/>
  <c r="I82" i="16"/>
  <c r="H82" i="16"/>
  <c r="F82" i="16"/>
  <c r="E82" i="16"/>
  <c r="J81" i="16"/>
  <c r="I81" i="16"/>
  <c r="H81" i="16"/>
  <c r="F81" i="16"/>
  <c r="E81" i="16"/>
  <c r="J80" i="16"/>
  <c r="I80" i="16"/>
  <c r="H80" i="16"/>
  <c r="F80" i="16"/>
  <c r="E80" i="16"/>
  <c r="J79" i="16"/>
  <c r="I79" i="16"/>
  <c r="H79" i="16"/>
  <c r="F79" i="16"/>
  <c r="E79" i="16"/>
  <c r="J78" i="16"/>
  <c r="I78" i="16"/>
  <c r="H78" i="16"/>
  <c r="F78" i="16"/>
  <c r="E78" i="16"/>
  <c r="J77" i="16"/>
  <c r="I77" i="16"/>
  <c r="H77" i="16"/>
  <c r="F77" i="16"/>
  <c r="E77" i="16"/>
  <c r="J76" i="16"/>
  <c r="I76" i="16"/>
  <c r="H76" i="16"/>
  <c r="F76" i="16"/>
  <c r="E76" i="16"/>
  <c r="J75" i="16"/>
  <c r="I75" i="16"/>
  <c r="H75" i="16"/>
  <c r="F75" i="16"/>
  <c r="E75" i="16"/>
  <c r="J74" i="16"/>
  <c r="I74" i="16"/>
  <c r="H74" i="16"/>
  <c r="F74" i="16"/>
  <c r="E74" i="16"/>
  <c r="J73" i="16"/>
  <c r="I73" i="16"/>
  <c r="H73" i="16"/>
  <c r="F73" i="16"/>
  <c r="E73" i="16"/>
  <c r="J72" i="16"/>
  <c r="I72" i="16"/>
  <c r="H72" i="16"/>
  <c r="F72" i="16"/>
  <c r="E72" i="16"/>
  <c r="J71" i="16"/>
  <c r="I71" i="16"/>
  <c r="H71" i="16"/>
  <c r="F71" i="16"/>
  <c r="E71" i="16"/>
  <c r="J70" i="16"/>
  <c r="I70" i="16"/>
  <c r="H70" i="16"/>
  <c r="F70" i="16"/>
  <c r="E70" i="16"/>
  <c r="J69" i="16"/>
  <c r="I69" i="16"/>
  <c r="H69" i="16"/>
  <c r="F69" i="16"/>
  <c r="E69" i="16"/>
  <c r="J68" i="16"/>
  <c r="I68" i="16"/>
  <c r="H68" i="16"/>
  <c r="F68" i="16"/>
  <c r="E68" i="16"/>
  <c r="J67" i="16"/>
  <c r="I67" i="16"/>
  <c r="H67" i="16"/>
  <c r="F67" i="16"/>
  <c r="E67" i="16"/>
  <c r="J66" i="16"/>
  <c r="I66" i="16"/>
  <c r="H66" i="16"/>
  <c r="F66" i="16"/>
  <c r="E66" i="16"/>
  <c r="J65" i="16"/>
  <c r="I65" i="16"/>
  <c r="H65" i="16"/>
  <c r="F65" i="16"/>
  <c r="E65" i="16"/>
  <c r="J64" i="16"/>
  <c r="I64" i="16"/>
  <c r="H64" i="16"/>
  <c r="F64" i="16"/>
  <c r="E64" i="16"/>
  <c r="J63" i="16"/>
  <c r="I63" i="16"/>
  <c r="H63" i="16"/>
  <c r="F63" i="16"/>
  <c r="E63" i="16"/>
  <c r="J62" i="16"/>
  <c r="I62" i="16"/>
  <c r="H62" i="16"/>
  <c r="F62" i="16"/>
  <c r="E62" i="16"/>
  <c r="J61" i="16"/>
  <c r="I61" i="16"/>
  <c r="H61" i="16"/>
  <c r="F61" i="16"/>
  <c r="E61" i="16"/>
  <c r="J60" i="16"/>
  <c r="I60" i="16"/>
  <c r="H60" i="16"/>
  <c r="F60" i="16"/>
  <c r="E60" i="16"/>
  <c r="J59" i="16"/>
  <c r="I59" i="16"/>
  <c r="H59" i="16"/>
  <c r="F59" i="16"/>
  <c r="E59" i="16"/>
  <c r="J58" i="16"/>
  <c r="I58" i="16"/>
  <c r="H58" i="16"/>
  <c r="F58" i="16"/>
  <c r="E58" i="16"/>
  <c r="J57" i="16"/>
  <c r="I57" i="16"/>
  <c r="H57" i="16"/>
  <c r="F57" i="16"/>
  <c r="E57" i="16"/>
  <c r="J56" i="16"/>
  <c r="I56" i="16"/>
  <c r="H56" i="16"/>
  <c r="F56" i="16"/>
  <c r="E56" i="16"/>
  <c r="J55" i="16"/>
  <c r="I55" i="16"/>
  <c r="H55" i="16"/>
  <c r="F55" i="16"/>
  <c r="E55" i="16"/>
  <c r="J54" i="16"/>
  <c r="I54" i="16"/>
  <c r="H54" i="16"/>
  <c r="F54" i="16"/>
  <c r="E54" i="16"/>
  <c r="J53" i="16"/>
  <c r="I53" i="16"/>
  <c r="H53" i="16"/>
  <c r="F53" i="16"/>
  <c r="E53" i="16"/>
  <c r="J52" i="16"/>
  <c r="I52" i="16"/>
  <c r="H52" i="16"/>
  <c r="F52" i="16"/>
  <c r="E52" i="16"/>
  <c r="J51" i="16"/>
  <c r="I51" i="16"/>
  <c r="H51" i="16"/>
  <c r="F51" i="16"/>
  <c r="E51" i="16"/>
  <c r="J50" i="16"/>
  <c r="I50" i="16"/>
  <c r="H50" i="16"/>
  <c r="F50" i="16"/>
  <c r="E50" i="16"/>
  <c r="J49" i="16"/>
  <c r="I49" i="16"/>
  <c r="H49" i="16"/>
  <c r="F49" i="16"/>
  <c r="E49" i="16"/>
  <c r="J48" i="16"/>
  <c r="I48" i="16"/>
  <c r="H48" i="16"/>
  <c r="F48" i="16"/>
  <c r="E48" i="16"/>
  <c r="J47" i="16"/>
  <c r="I47" i="16"/>
  <c r="H47" i="16"/>
  <c r="F47" i="16"/>
  <c r="E47" i="16"/>
  <c r="J46" i="16"/>
  <c r="I46" i="16"/>
  <c r="H46" i="16"/>
  <c r="F46" i="16"/>
  <c r="E46" i="16"/>
  <c r="J45" i="16"/>
  <c r="I45" i="16"/>
  <c r="H45" i="16"/>
  <c r="F45" i="16"/>
  <c r="E45" i="16"/>
  <c r="J44" i="16"/>
  <c r="I44" i="16"/>
  <c r="H44" i="16"/>
  <c r="F44" i="16"/>
  <c r="E44" i="16"/>
  <c r="J43" i="16"/>
  <c r="I43" i="16"/>
  <c r="H43" i="16"/>
  <c r="F43" i="16"/>
  <c r="E43" i="16"/>
  <c r="J42" i="16"/>
  <c r="I42" i="16"/>
  <c r="H42" i="16"/>
  <c r="F42" i="16"/>
  <c r="E42" i="16"/>
  <c r="J41" i="16"/>
  <c r="I41" i="16"/>
  <c r="H41" i="16"/>
  <c r="F41" i="16"/>
  <c r="E41" i="16"/>
  <c r="J40" i="16"/>
  <c r="I40" i="16"/>
  <c r="H40" i="16"/>
  <c r="F40" i="16"/>
  <c r="E40" i="16"/>
  <c r="J39" i="16"/>
  <c r="I39" i="16"/>
  <c r="H39" i="16"/>
  <c r="F39" i="16"/>
  <c r="E39" i="16"/>
  <c r="J38" i="16"/>
  <c r="I38" i="16"/>
  <c r="H38" i="16"/>
  <c r="F38" i="16"/>
  <c r="E38" i="16"/>
  <c r="J37" i="16"/>
  <c r="I37" i="16"/>
  <c r="H37" i="16"/>
  <c r="F37" i="16"/>
  <c r="E37" i="16"/>
  <c r="J36" i="16"/>
  <c r="I36" i="16"/>
  <c r="H36" i="16"/>
  <c r="F36" i="16"/>
  <c r="E36" i="16"/>
  <c r="J35" i="16"/>
  <c r="I35" i="16"/>
  <c r="H35" i="16"/>
  <c r="F35" i="16"/>
  <c r="E35" i="16"/>
  <c r="J34" i="16"/>
  <c r="I34" i="16"/>
  <c r="H34" i="16"/>
  <c r="F34" i="16"/>
  <c r="E34" i="16"/>
  <c r="J33" i="16"/>
  <c r="I33" i="16"/>
  <c r="H33" i="16"/>
  <c r="F33" i="16"/>
  <c r="E33" i="16"/>
  <c r="J32" i="16"/>
  <c r="I32" i="16"/>
  <c r="H32" i="16"/>
  <c r="F32" i="16"/>
  <c r="E32" i="16"/>
  <c r="J31" i="16"/>
  <c r="I31" i="16"/>
  <c r="H31" i="16"/>
  <c r="F31" i="16"/>
  <c r="E31" i="16"/>
  <c r="J30" i="16"/>
  <c r="I30" i="16"/>
  <c r="H30" i="16"/>
  <c r="F30" i="16"/>
  <c r="E30" i="16"/>
  <c r="J29" i="16"/>
  <c r="I29" i="16"/>
  <c r="H29" i="16"/>
  <c r="F29" i="16"/>
  <c r="E29" i="16"/>
  <c r="J28" i="16"/>
  <c r="I28" i="16"/>
  <c r="H28" i="16"/>
  <c r="F28" i="16"/>
  <c r="E28" i="16"/>
  <c r="J27" i="16"/>
  <c r="I27" i="16"/>
  <c r="H27" i="16"/>
  <c r="F27" i="16"/>
  <c r="E27" i="16"/>
  <c r="J26" i="16"/>
  <c r="I26" i="16"/>
  <c r="H26" i="16"/>
  <c r="F26" i="16"/>
  <c r="E26" i="16"/>
  <c r="J25" i="16"/>
  <c r="I25" i="16"/>
  <c r="H25" i="16"/>
  <c r="F25" i="16"/>
  <c r="E25" i="16"/>
  <c r="J24" i="16"/>
  <c r="I24" i="16"/>
  <c r="H24" i="16"/>
  <c r="F24" i="16"/>
  <c r="E24" i="16"/>
  <c r="J23" i="16"/>
  <c r="I23" i="16"/>
  <c r="H23" i="16"/>
  <c r="F23" i="16"/>
  <c r="E23" i="16"/>
  <c r="J22" i="16"/>
  <c r="I22" i="16"/>
  <c r="H22" i="16"/>
  <c r="F22" i="16"/>
  <c r="E22" i="16"/>
  <c r="J21" i="16"/>
  <c r="I21" i="16"/>
  <c r="H21" i="16"/>
  <c r="F21" i="16"/>
  <c r="E21" i="16"/>
  <c r="J20" i="16"/>
  <c r="I20" i="16"/>
  <c r="H20" i="16"/>
  <c r="F20" i="16"/>
  <c r="E20" i="16"/>
  <c r="J19" i="16"/>
  <c r="I19" i="16"/>
  <c r="H19" i="16"/>
  <c r="F19" i="16"/>
  <c r="E19" i="16"/>
  <c r="J18" i="16"/>
  <c r="I18" i="16"/>
  <c r="H18" i="16"/>
  <c r="F18" i="16"/>
  <c r="E18" i="16"/>
  <c r="J17" i="16"/>
  <c r="I17" i="16"/>
  <c r="H17" i="16"/>
  <c r="F17" i="16"/>
  <c r="E17" i="16"/>
  <c r="J16" i="16"/>
  <c r="I16" i="16"/>
  <c r="H16" i="16"/>
  <c r="F16" i="16"/>
  <c r="E16" i="16"/>
  <c r="J15" i="16"/>
  <c r="I15" i="16"/>
  <c r="H15" i="16"/>
  <c r="F15" i="16"/>
  <c r="E15" i="16"/>
  <c r="J14" i="16"/>
  <c r="I14" i="16"/>
  <c r="H14" i="16"/>
  <c r="F14" i="16"/>
  <c r="E14" i="16"/>
  <c r="J13" i="16"/>
  <c r="I13" i="16"/>
  <c r="H13" i="16"/>
  <c r="F13" i="16"/>
  <c r="E13" i="16"/>
  <c r="J12" i="16"/>
  <c r="I12" i="16"/>
  <c r="H12" i="16"/>
  <c r="F12" i="16"/>
  <c r="E12" i="16"/>
  <c r="J11" i="16"/>
  <c r="I11" i="16"/>
  <c r="H11" i="16"/>
  <c r="F11" i="16"/>
  <c r="E11" i="16"/>
  <c r="J10" i="16"/>
  <c r="I10" i="16"/>
  <c r="H10" i="16"/>
  <c r="F10" i="16"/>
  <c r="E10" i="16"/>
  <c r="J9" i="16"/>
  <c r="I9" i="16"/>
  <c r="H9" i="16"/>
  <c r="F9" i="16"/>
  <c r="E9" i="16"/>
  <c r="J8" i="16"/>
  <c r="I8" i="16"/>
  <c r="H8" i="16"/>
  <c r="F8" i="16"/>
  <c r="E8" i="16"/>
  <c r="J7" i="16"/>
  <c r="I7" i="16"/>
  <c r="H7" i="16"/>
  <c r="F7" i="16"/>
  <c r="E7" i="16"/>
  <c r="J6" i="16"/>
  <c r="I6" i="16"/>
  <c r="H6" i="16"/>
  <c r="F6" i="16"/>
  <c r="E6" i="16"/>
  <c r="J5" i="16"/>
  <c r="I5" i="16"/>
  <c r="H5" i="16"/>
  <c r="F5" i="16"/>
  <c r="E5" i="16"/>
  <c r="J4" i="16"/>
  <c r="I4" i="16"/>
  <c r="H4" i="16"/>
  <c r="F4" i="16"/>
  <c r="E4" i="16"/>
  <c r="J3" i="16"/>
  <c r="I3" i="16"/>
  <c r="H3" i="16"/>
  <c r="F3" i="16"/>
  <c r="E3" i="16"/>
  <c r="J2" i="16"/>
  <c r="I2" i="16"/>
  <c r="H2" i="16"/>
  <c r="F2" i="16"/>
  <c r="E2" i="16"/>
  <c r="K521" i="15"/>
  <c r="K520" i="15"/>
  <c r="K519" i="15"/>
  <c r="K518" i="15"/>
  <c r="K517" i="15"/>
  <c r="K516" i="15"/>
  <c r="K515" i="15"/>
  <c r="K514" i="15"/>
  <c r="K513" i="15"/>
  <c r="K512" i="15"/>
  <c r="K511" i="15"/>
  <c r="K510" i="15"/>
  <c r="K509" i="15"/>
  <c r="K508" i="15"/>
  <c r="K507" i="15"/>
  <c r="K506" i="15"/>
  <c r="K505" i="15"/>
  <c r="K504" i="15"/>
  <c r="K503" i="15"/>
  <c r="K502" i="15"/>
  <c r="K501" i="15"/>
  <c r="K500" i="15"/>
  <c r="K499" i="15"/>
  <c r="K498" i="15"/>
  <c r="K497" i="15"/>
  <c r="K496" i="15"/>
  <c r="K495" i="15"/>
  <c r="K494" i="15"/>
  <c r="K493" i="15"/>
  <c r="K492" i="15"/>
  <c r="K491" i="15"/>
  <c r="K490" i="15"/>
  <c r="K489" i="15"/>
  <c r="K488" i="15"/>
  <c r="K487" i="15"/>
  <c r="K486" i="15"/>
  <c r="K485" i="15"/>
  <c r="K484" i="15"/>
  <c r="K483" i="15"/>
  <c r="K482" i="15"/>
  <c r="K481" i="15"/>
  <c r="K480" i="15"/>
  <c r="K479" i="15"/>
  <c r="K478" i="15"/>
  <c r="K477" i="15"/>
  <c r="K476" i="15"/>
  <c r="K475" i="15"/>
  <c r="K474" i="15"/>
  <c r="K473" i="15"/>
  <c r="K472" i="15"/>
  <c r="K471" i="15"/>
  <c r="K470" i="15"/>
  <c r="K469" i="15"/>
  <c r="K468" i="15"/>
  <c r="K467" i="15"/>
  <c r="K466" i="15"/>
  <c r="K465" i="15"/>
  <c r="K464" i="15"/>
  <c r="K463" i="15"/>
  <c r="K462" i="15"/>
  <c r="K461" i="15"/>
  <c r="K460" i="15"/>
  <c r="K459" i="15"/>
  <c r="K458" i="15"/>
  <c r="K457" i="15"/>
  <c r="K456" i="15"/>
  <c r="K455" i="15"/>
  <c r="K454" i="15"/>
  <c r="K453" i="15"/>
  <c r="K452" i="15"/>
  <c r="K451" i="15"/>
  <c r="K450" i="15"/>
  <c r="K449" i="15"/>
  <c r="K448" i="15"/>
  <c r="K447" i="15"/>
  <c r="K446" i="15"/>
  <c r="K445" i="15"/>
  <c r="K444" i="15"/>
  <c r="K443" i="15"/>
  <c r="K442" i="15"/>
  <c r="K441" i="15"/>
  <c r="K440" i="15"/>
  <c r="K439" i="15"/>
  <c r="K438" i="15"/>
  <c r="K437" i="15"/>
  <c r="K436" i="15"/>
  <c r="K435" i="15"/>
  <c r="K434" i="15"/>
  <c r="K433" i="15"/>
  <c r="K432" i="15"/>
  <c r="K431" i="15"/>
  <c r="K430" i="15"/>
  <c r="K429" i="15"/>
  <c r="K428" i="15"/>
  <c r="K427" i="15"/>
  <c r="K426" i="15"/>
  <c r="K425" i="15"/>
  <c r="K424" i="15"/>
  <c r="K423" i="15"/>
  <c r="K422" i="15"/>
  <c r="K421" i="15"/>
  <c r="K420" i="15"/>
  <c r="K419" i="15"/>
  <c r="K418" i="15"/>
  <c r="K417" i="15"/>
  <c r="K416" i="15"/>
  <c r="K415" i="15"/>
  <c r="K414" i="15"/>
  <c r="K413" i="15"/>
  <c r="K412" i="15"/>
  <c r="K411" i="15"/>
  <c r="K410" i="15"/>
  <c r="K409" i="15"/>
  <c r="K408" i="15"/>
  <c r="K407" i="15"/>
  <c r="K406" i="15"/>
  <c r="K405" i="15"/>
  <c r="K404" i="15"/>
  <c r="K403" i="15"/>
  <c r="K402" i="15"/>
  <c r="K401" i="15"/>
  <c r="K400" i="15"/>
  <c r="K399" i="15"/>
  <c r="K398" i="15"/>
  <c r="K397" i="15"/>
  <c r="K396" i="15"/>
  <c r="K395" i="15"/>
  <c r="K394" i="15"/>
  <c r="K393" i="15"/>
  <c r="K392" i="15"/>
  <c r="K391" i="15"/>
  <c r="K390" i="15"/>
  <c r="K389" i="15"/>
  <c r="K388" i="15"/>
  <c r="K387" i="15"/>
  <c r="K386" i="15"/>
  <c r="K385" i="15"/>
  <c r="K384" i="15"/>
  <c r="K383" i="15"/>
  <c r="K382" i="15"/>
  <c r="K381" i="15"/>
  <c r="K380" i="15"/>
  <c r="K379" i="15"/>
  <c r="K378" i="15"/>
  <c r="K377" i="15"/>
  <c r="K376" i="15"/>
  <c r="K375" i="15"/>
  <c r="K374" i="15"/>
  <c r="K373" i="15"/>
  <c r="K372" i="15"/>
  <c r="K371" i="15"/>
  <c r="K370" i="15"/>
  <c r="K369" i="15"/>
  <c r="K368" i="15"/>
  <c r="K367" i="15"/>
  <c r="K366" i="15"/>
  <c r="K365" i="15"/>
  <c r="K364" i="15"/>
  <c r="K363" i="15"/>
  <c r="K362" i="15"/>
  <c r="K361" i="15"/>
  <c r="K360" i="15"/>
  <c r="K359" i="15"/>
  <c r="K358" i="15"/>
  <c r="K357" i="15"/>
  <c r="K356" i="15"/>
  <c r="K355" i="15"/>
  <c r="K354" i="15"/>
  <c r="K353" i="15"/>
  <c r="K352" i="15"/>
  <c r="K351" i="15"/>
  <c r="K350" i="15"/>
  <c r="K349" i="15"/>
  <c r="K348" i="15"/>
  <c r="K347" i="15"/>
  <c r="K346" i="15"/>
  <c r="K345" i="15"/>
  <c r="K344" i="15"/>
  <c r="K343" i="15"/>
  <c r="K342" i="15"/>
  <c r="K341" i="15"/>
  <c r="K340" i="15"/>
  <c r="K339" i="15"/>
  <c r="K338" i="15"/>
  <c r="K337" i="15"/>
  <c r="K336" i="15"/>
  <c r="K335" i="15"/>
  <c r="K334" i="15"/>
  <c r="K333" i="15"/>
  <c r="K332" i="15"/>
  <c r="K331" i="15"/>
  <c r="K330" i="15"/>
  <c r="K329" i="15"/>
  <c r="K328" i="15"/>
  <c r="K327" i="15"/>
  <c r="K326" i="15"/>
  <c r="K325" i="15"/>
  <c r="K324" i="15"/>
  <c r="K323" i="15"/>
  <c r="K322" i="15"/>
  <c r="K321" i="15"/>
  <c r="K320" i="15"/>
  <c r="K319" i="15"/>
  <c r="K318" i="15"/>
  <c r="K317" i="15"/>
  <c r="K316" i="15"/>
  <c r="K315" i="15"/>
  <c r="K314" i="15"/>
  <c r="K313" i="15"/>
  <c r="K312" i="15"/>
  <c r="K311" i="15"/>
  <c r="K310" i="15"/>
  <c r="K309" i="15"/>
  <c r="K308" i="15"/>
  <c r="K307" i="15"/>
  <c r="K306" i="15"/>
  <c r="K305" i="15"/>
  <c r="K304" i="15"/>
  <c r="K303" i="15"/>
  <c r="K302" i="15"/>
  <c r="K301" i="15"/>
  <c r="K300" i="15"/>
  <c r="K299" i="15"/>
  <c r="K298" i="15"/>
  <c r="K297" i="15"/>
  <c r="K296" i="15"/>
  <c r="K295" i="15"/>
  <c r="K294" i="15"/>
  <c r="K293" i="15"/>
  <c r="K292" i="15"/>
  <c r="K291" i="15"/>
  <c r="K290" i="15"/>
  <c r="K289" i="15"/>
  <c r="K288" i="15"/>
  <c r="K287" i="15"/>
  <c r="K286" i="15"/>
  <c r="K285" i="15"/>
  <c r="K284" i="15"/>
  <c r="K283" i="15"/>
  <c r="K282" i="15"/>
  <c r="K281" i="15"/>
  <c r="K280" i="15"/>
  <c r="K279" i="15"/>
  <c r="K278" i="15"/>
  <c r="K277" i="15"/>
  <c r="K276" i="15"/>
  <c r="K275" i="15"/>
  <c r="K274" i="15"/>
  <c r="K273" i="15"/>
  <c r="K272" i="15"/>
  <c r="K271" i="15"/>
  <c r="K270" i="15"/>
  <c r="K269" i="15"/>
  <c r="K268" i="15"/>
  <c r="K267" i="15"/>
  <c r="K266" i="15"/>
  <c r="K265" i="15"/>
  <c r="K264" i="15"/>
  <c r="K263" i="15"/>
  <c r="K262" i="15"/>
  <c r="K261" i="15"/>
  <c r="K260" i="15"/>
  <c r="K259" i="15"/>
  <c r="K258" i="15"/>
  <c r="K257" i="15"/>
  <c r="K256" i="15"/>
  <c r="K255" i="15"/>
  <c r="K254" i="15"/>
  <c r="K253" i="15"/>
  <c r="K252" i="15"/>
  <c r="K251" i="15"/>
  <c r="K250" i="15"/>
  <c r="K249" i="15"/>
  <c r="K248" i="15"/>
  <c r="K247" i="15"/>
  <c r="K246" i="15"/>
  <c r="K245" i="15"/>
  <c r="K244" i="15"/>
  <c r="K243" i="15"/>
  <c r="K242" i="15"/>
  <c r="K241" i="15"/>
  <c r="K240" i="15"/>
  <c r="K239" i="15"/>
  <c r="K238" i="15"/>
  <c r="K237" i="15"/>
  <c r="K236" i="15"/>
  <c r="K235" i="15"/>
  <c r="K234" i="15"/>
  <c r="K233" i="15"/>
  <c r="K232" i="15"/>
  <c r="K231" i="15"/>
  <c r="K230" i="15"/>
  <c r="K229" i="15"/>
  <c r="K228" i="15"/>
  <c r="K227" i="15"/>
  <c r="K226" i="15"/>
  <c r="K225" i="15"/>
  <c r="K224" i="15"/>
  <c r="K223" i="15"/>
  <c r="K222" i="15"/>
  <c r="K221" i="15"/>
  <c r="K220" i="15"/>
  <c r="K219" i="15"/>
  <c r="K218" i="15"/>
  <c r="K217" i="15"/>
  <c r="K216" i="15"/>
  <c r="K215" i="15"/>
  <c r="K214" i="15"/>
  <c r="K213" i="15"/>
  <c r="K212" i="15"/>
  <c r="K211" i="15"/>
  <c r="K210" i="15"/>
  <c r="K209" i="15"/>
  <c r="K208" i="15"/>
  <c r="K207" i="15"/>
  <c r="K206" i="15"/>
  <c r="K205" i="15"/>
  <c r="K204" i="15"/>
  <c r="K203" i="15"/>
  <c r="K202" i="15"/>
  <c r="K201" i="15"/>
  <c r="K200" i="15"/>
  <c r="K199" i="15"/>
  <c r="K198" i="15"/>
  <c r="K197" i="15"/>
  <c r="K196" i="15"/>
  <c r="K195" i="15"/>
  <c r="K194" i="15"/>
  <c r="K193" i="15"/>
  <c r="K192" i="15"/>
  <c r="K191" i="15"/>
  <c r="K190" i="15"/>
  <c r="K189" i="15"/>
  <c r="K188" i="15"/>
  <c r="K187" i="15"/>
  <c r="K186" i="15"/>
  <c r="K185" i="15"/>
  <c r="K184" i="15"/>
  <c r="K183" i="15"/>
  <c r="K182" i="15"/>
  <c r="K181" i="15"/>
  <c r="K180" i="15"/>
  <c r="K179" i="15"/>
  <c r="K178" i="15"/>
  <c r="K177" i="15"/>
  <c r="K176" i="15"/>
  <c r="K175" i="15"/>
  <c r="K174" i="15"/>
  <c r="K173" i="15"/>
  <c r="K172" i="15"/>
  <c r="K171" i="15"/>
  <c r="K170" i="15"/>
  <c r="K169" i="15"/>
  <c r="K168" i="15"/>
  <c r="K167" i="15"/>
  <c r="K166" i="15"/>
  <c r="K165" i="15"/>
  <c r="K164" i="15"/>
  <c r="K163" i="15"/>
  <c r="K162" i="15"/>
  <c r="K161" i="15"/>
  <c r="K160" i="15"/>
  <c r="K159" i="15"/>
  <c r="K158" i="15"/>
  <c r="K157" i="15"/>
  <c r="K156" i="15"/>
  <c r="K155" i="15"/>
  <c r="K154" i="15"/>
  <c r="K153" i="15"/>
  <c r="K152" i="15"/>
  <c r="K151" i="15"/>
  <c r="K150" i="15"/>
  <c r="K149" i="15"/>
  <c r="K148" i="15"/>
  <c r="K147" i="15"/>
  <c r="K146" i="15"/>
  <c r="K145" i="15"/>
  <c r="K144" i="15"/>
  <c r="K143" i="15"/>
  <c r="K142" i="15"/>
  <c r="K141" i="15"/>
  <c r="K140" i="15"/>
  <c r="K139" i="15"/>
  <c r="K138" i="15"/>
  <c r="K137" i="15"/>
  <c r="K136" i="15"/>
  <c r="K135" i="15"/>
  <c r="K134" i="15"/>
  <c r="K133" i="15"/>
  <c r="K132" i="15"/>
  <c r="K131" i="15"/>
  <c r="K130" i="15"/>
  <c r="K129" i="15"/>
  <c r="K128" i="15"/>
  <c r="K127" i="15"/>
  <c r="K126" i="15"/>
  <c r="K125" i="15"/>
  <c r="K124" i="15"/>
  <c r="K123" i="15"/>
  <c r="K122" i="15"/>
  <c r="K121" i="15"/>
  <c r="K120" i="15"/>
  <c r="K119" i="15"/>
  <c r="K118" i="15"/>
  <c r="K117" i="15"/>
  <c r="K116" i="15"/>
  <c r="K115" i="15"/>
  <c r="K114" i="15"/>
  <c r="K113" i="15"/>
  <c r="K112" i="15"/>
  <c r="K111" i="15"/>
  <c r="K110" i="15"/>
  <c r="K109" i="15"/>
  <c r="K108" i="15"/>
  <c r="K107" i="15"/>
  <c r="K106" i="15"/>
  <c r="K105" i="15"/>
  <c r="K104" i="15"/>
  <c r="K103" i="15"/>
  <c r="K102" i="15"/>
  <c r="K101" i="15"/>
  <c r="K100" i="15"/>
  <c r="K99" i="15"/>
  <c r="K98" i="15"/>
  <c r="K97" i="15"/>
  <c r="K96" i="15"/>
  <c r="K95" i="15"/>
  <c r="K94" i="15"/>
  <c r="K93" i="15"/>
  <c r="K92" i="15"/>
  <c r="K91" i="15"/>
  <c r="K90" i="15"/>
  <c r="K89" i="15"/>
  <c r="K88" i="15"/>
  <c r="K87" i="15"/>
  <c r="K86" i="15"/>
  <c r="K85" i="15"/>
  <c r="K84" i="15"/>
  <c r="K83" i="15"/>
  <c r="K82" i="15"/>
  <c r="K81" i="15"/>
  <c r="K80" i="15"/>
  <c r="K79" i="15"/>
  <c r="K78" i="15"/>
  <c r="K77" i="15"/>
  <c r="K76" i="15"/>
  <c r="K75" i="15"/>
  <c r="K74" i="15"/>
  <c r="K73" i="15"/>
  <c r="K72" i="15"/>
  <c r="K71" i="15"/>
  <c r="K70" i="15"/>
  <c r="K69" i="15"/>
  <c r="K68" i="15"/>
  <c r="K67"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33" i="15"/>
  <c r="K32" i="15"/>
  <c r="K31" i="15"/>
  <c r="K30" i="15"/>
  <c r="K29" i="15"/>
  <c r="K28" i="15"/>
  <c r="K27" i="15"/>
  <c r="K26" i="15"/>
  <c r="K25" i="15"/>
  <c r="K24" i="15"/>
  <c r="K23" i="15"/>
  <c r="K22" i="15"/>
  <c r="K21" i="15"/>
  <c r="K20" i="15"/>
  <c r="K19" i="15"/>
  <c r="K18" i="15"/>
  <c r="K17" i="15"/>
  <c r="K16" i="15"/>
  <c r="K15" i="15"/>
  <c r="K14" i="15"/>
  <c r="K13" i="15"/>
  <c r="K12" i="15"/>
  <c r="K11" i="15"/>
  <c r="K10" i="15"/>
  <c r="K9" i="15"/>
  <c r="K8" i="15"/>
  <c r="K7" i="15"/>
  <c r="K6" i="15"/>
  <c r="K5" i="15"/>
  <c r="K4" i="15"/>
  <c r="K3" i="15"/>
  <c r="K2" i="15"/>
</calcChain>
</file>

<file path=xl/sharedStrings.xml><?xml version="1.0" encoding="utf-8"?>
<sst xmlns="http://schemas.openxmlformats.org/spreadsheetml/2006/main" count="4535" uniqueCount="2041">
  <si>
    <t>Asset_Tag</t>
  </si>
  <si>
    <t>Device_Type</t>
  </si>
  <si>
    <t>Model</t>
  </si>
  <si>
    <t>Serial_Number</t>
  </si>
  <si>
    <t>Vendor_Name</t>
  </si>
  <si>
    <t>Contract_ID</t>
  </si>
  <si>
    <t>Start_Date</t>
  </si>
  <si>
    <t>End_Date</t>
  </si>
  <si>
    <t>Annual_Cost</t>
  </si>
  <si>
    <t>Region</t>
  </si>
  <si>
    <t>SLA_Status</t>
  </si>
  <si>
    <t>Network Gear</t>
  </si>
  <si>
    <t>iPhone 14 Pro Gen8</t>
  </si>
  <si>
    <t>Fujitsu</t>
  </si>
  <si>
    <t>LATAM</t>
  </si>
  <si>
    <t>Printer</t>
  </si>
  <si>
    <t>Latitude 5430 Gen9</t>
  </si>
  <si>
    <t>Samsung IT</t>
  </si>
  <si>
    <t>CT-Sams-2026-002</t>
  </si>
  <si>
    <t>AMER</t>
  </si>
  <si>
    <t>Laptop</t>
  </si>
  <si>
    <t>Latitude 5430 Gen10</t>
  </si>
  <si>
    <t>HP Inc</t>
  </si>
  <si>
    <t>APAC</t>
  </si>
  <si>
    <t>Desktop</t>
  </si>
  <si>
    <t>ThinkPad X1 Gen11</t>
  </si>
  <si>
    <t>Mobile</t>
  </si>
  <si>
    <t>iPhone 14 Pro Gen10</t>
  </si>
  <si>
    <t>Catalyst 9300 Gen11</t>
  </si>
  <si>
    <t>Server</t>
  </si>
  <si>
    <t>EliteBook 840 Gen8</t>
  </si>
  <si>
    <t>ThinkPad X1 Gen12</t>
  </si>
  <si>
    <t>Lenovo Pro</t>
  </si>
  <si>
    <t>ThinkPad X1 Gen10</t>
  </si>
  <si>
    <t>Dell Global</t>
  </si>
  <si>
    <t>EMEA</t>
  </si>
  <si>
    <t>Catalyst 9300 Gen10</t>
  </si>
  <si>
    <t>Apple Enterprise</t>
  </si>
  <si>
    <t>EliteBook 840 Gen12</t>
  </si>
  <si>
    <t>Cisco Systems</t>
  </si>
  <si>
    <t>ThinkPad X1 Gen8</t>
  </si>
  <si>
    <t>MacBook Pro 16 Gen10</t>
  </si>
  <si>
    <t>EliteBook 840 Gen9</t>
  </si>
  <si>
    <t>iPhone 14 Pro Gen9</t>
  </si>
  <si>
    <t>ProLiant DL380 Gen12</t>
  </si>
  <si>
    <t>CT-Appl-2026-023</t>
  </si>
  <si>
    <t>MacBook Pro 16 Gen9</t>
  </si>
  <si>
    <t>ProLiant DL380 Gen9</t>
  </si>
  <si>
    <t>ProLiant DL380 Gen10</t>
  </si>
  <si>
    <t>iPhone 14 Pro Gen11</t>
  </si>
  <si>
    <t>iPhone 14 Pro Gen12</t>
  </si>
  <si>
    <t>Catalyst 9300 Gen8</t>
  </si>
  <si>
    <t>Latitude 5430 Gen8</t>
  </si>
  <si>
    <t>EliteBook 840 Gen11</t>
  </si>
  <si>
    <t>CT-Dell-2026-033</t>
  </si>
  <si>
    <t>ProLiant DL380 Gen11</t>
  </si>
  <si>
    <t>EliteBook 840 Gen10</t>
  </si>
  <si>
    <t>CT-Cisc-2026-044</t>
  </si>
  <si>
    <t>Latitude 5430 Gen12</t>
  </si>
  <si>
    <t>Prin-AME-0051</t>
  </si>
  <si>
    <t>MacBook Pro 16 Gen8</t>
  </si>
  <si>
    <t>CT-Fuji-2026-058</t>
  </si>
  <si>
    <t>Catalyst 9300 Gen12</t>
  </si>
  <si>
    <t>CT-Sams-2026-060</t>
  </si>
  <si>
    <t>CT-HP I-2026-065</t>
  </si>
  <si>
    <t>MacBook Pro 16 Gen11</t>
  </si>
  <si>
    <t>Catalyst 9300 Gen9</t>
  </si>
  <si>
    <t>CT-HP I-2026-074</t>
  </si>
  <si>
    <t>ProLiant DL380 Gen8</t>
  </si>
  <si>
    <t>MacBook Pro 16 Gen12</t>
  </si>
  <si>
    <t>CT-HP I-2026-085</t>
  </si>
  <si>
    <t>CT-Cisc-2026-106</t>
  </si>
  <si>
    <t>Latitude 5430 Gen11</t>
  </si>
  <si>
    <t>Desk-APA-0116</t>
  </si>
  <si>
    <t>CT-Dell-2026-117</t>
  </si>
  <si>
    <t>CT-Leno-2026-118</t>
  </si>
  <si>
    <t>CT-HP I-2026-128</t>
  </si>
  <si>
    <t>ThinkPad X1 Gen9</t>
  </si>
  <si>
    <t>CT-HP I-2026-129</t>
  </si>
  <si>
    <t>Mobi-APA-0135</t>
  </si>
  <si>
    <t>CT-Fuji-2026-141</t>
  </si>
  <si>
    <t>Mobi-LAT-0150</t>
  </si>
  <si>
    <t>CT-Leno-2026-150</t>
  </si>
  <si>
    <t>CT-Appl-2026-168</t>
  </si>
  <si>
    <t>CT-Fuji-2026-170</t>
  </si>
  <si>
    <t>CT-Dell-2026-173</t>
  </si>
  <si>
    <t>Lapt-EME-0174</t>
  </si>
  <si>
    <t>CT-Cisc-2026-183</t>
  </si>
  <si>
    <t>CT-Fuji-2026-185</t>
  </si>
  <si>
    <t>CT-Sams-2026-193</t>
  </si>
  <si>
    <t>CT-Cisc-2026-199</t>
  </si>
  <si>
    <t>Mobi-EME-0215</t>
  </si>
  <si>
    <t>CT-Appl-2026-215</t>
  </si>
  <si>
    <t>CT-HP I-2026-222</t>
  </si>
  <si>
    <t>Netw-APA-0223</t>
  </si>
  <si>
    <t>CT-Sams-2026-226</t>
  </si>
  <si>
    <t>CT-Sams-2026-251</t>
  </si>
  <si>
    <t>CT-Sams-2026-255</t>
  </si>
  <si>
    <t>CT-Dell-2026-258</t>
  </si>
  <si>
    <t>CT-Sams-2026-262</t>
  </si>
  <si>
    <t>Mobi-APA-0265</t>
  </si>
  <si>
    <t>Serv-EME-0266</t>
  </si>
  <si>
    <t>Lapt-APA-0271</t>
  </si>
  <si>
    <t>CT-Dell-2026-276</t>
  </si>
  <si>
    <t>CT-Leno-2026-285</t>
  </si>
  <si>
    <t>CT-Leno-2026-288</t>
  </si>
  <si>
    <t>CT-Fuji-2026-299</t>
  </si>
  <si>
    <t>CT-Cisc-2026-307</t>
  </si>
  <si>
    <t>CT-Sams-2026-327</t>
  </si>
  <si>
    <t>CT-Fuji-2026-341</t>
  </si>
  <si>
    <t>CT-Cisc-2026-344</t>
  </si>
  <si>
    <t>CT-Sams-2026-346</t>
  </si>
  <si>
    <t>CT-Fuji-2026-359</t>
  </si>
  <si>
    <t>CT-Sams-2026-365</t>
  </si>
  <si>
    <t>CT-Appl-2026-373</t>
  </si>
  <si>
    <t>Desk-AME-0375</t>
  </si>
  <si>
    <t>CT-Cisc-2026-381</t>
  </si>
  <si>
    <t>CT-Sams-2026-382</t>
  </si>
  <si>
    <t>Lapt-AME-0390</t>
  </si>
  <si>
    <t>CT-Fuji-2026-394</t>
  </si>
  <si>
    <t>CT-Sams-2026-401</t>
  </si>
  <si>
    <t>CT-Leno-2026-407</t>
  </si>
  <si>
    <t>Prin-LAT-0408</t>
  </si>
  <si>
    <t>CT-Appl-2026-411</t>
  </si>
  <si>
    <t>Serv-LAT-0419</t>
  </si>
  <si>
    <t>CT-Sams-2026-430</t>
  </si>
  <si>
    <t>CT-Appl-2026-433</t>
  </si>
  <si>
    <t>Desk-LAT-0435</t>
  </si>
  <si>
    <t>Mobi-EME-0443</t>
  </si>
  <si>
    <t>CT-Leno-2026-446</t>
  </si>
  <si>
    <t>CT-Cisc-2026-447</t>
  </si>
  <si>
    <t>Lapt-EME-0454</t>
  </si>
  <si>
    <t>CT-Appl-2026-457</t>
  </si>
  <si>
    <t>Netw-AME-0463</t>
  </si>
  <si>
    <t>CT-Fuji-2026-476</t>
  </si>
  <si>
    <t>CT-Appl-2026-479</t>
  </si>
  <si>
    <t>CT-Leno-2026-482</t>
  </si>
  <si>
    <t>CT-Fuji-2026-484</t>
  </si>
  <si>
    <t>CT-Appl-2026-492</t>
  </si>
  <si>
    <t>Serv-EME-0496</t>
  </si>
  <si>
    <t>CT-Fuji-2026-502</t>
  </si>
  <si>
    <t>CT-Dell-2026-503</t>
  </si>
  <si>
    <t>CT-HP I-2026-504</t>
  </si>
  <si>
    <t>Prin-EME-0510</t>
  </si>
  <si>
    <t>CT-HP I-2026-510</t>
  </si>
  <si>
    <t>CT-Dell-2026-514</t>
  </si>
  <si>
    <t>Ticket_ID</t>
  </si>
  <si>
    <t>Date_Reported</t>
  </si>
  <si>
    <t>Date_Resolved</t>
  </si>
  <si>
    <t>Vendor</t>
  </si>
  <si>
    <t>SLA_Days_Allowed</t>
  </si>
  <si>
    <t>Actual_TAT</t>
  </si>
  <si>
    <t>SLA_Breach</t>
  </si>
  <si>
    <t>Month</t>
  </si>
  <si>
    <t>TKT-2026-0001</t>
  </si>
  <si>
    <t>TKT-2026-0002</t>
  </si>
  <si>
    <t>TKT-2026-0003</t>
  </si>
  <si>
    <t>TKT-2026-0004</t>
  </si>
  <si>
    <t>TKT-2026-0005</t>
  </si>
  <si>
    <t>TKT-2026-0006</t>
  </si>
  <si>
    <t>TKT-2026-0007</t>
  </si>
  <si>
    <t>TKT-2026-0008</t>
  </si>
  <si>
    <t>TKT-2026-0009</t>
  </si>
  <si>
    <t>TKT-2026-0010</t>
  </si>
  <si>
    <t>TKT-2026-0011</t>
  </si>
  <si>
    <t>TKT-2026-0012</t>
  </si>
  <si>
    <t>TKT-2026-0013</t>
  </si>
  <si>
    <t>TKT-2026-0014</t>
  </si>
  <si>
    <t>TKT-2026-0015</t>
  </si>
  <si>
    <t>TKT-2026-0016</t>
  </si>
  <si>
    <t>TKT-2026-0017</t>
  </si>
  <si>
    <t>TKT-2026-0018</t>
  </si>
  <si>
    <t>TKT-2026-0019</t>
  </si>
  <si>
    <t>TKT-2026-0020</t>
  </si>
  <si>
    <t>TKT-2026-0021</t>
  </si>
  <si>
    <t>TKT-2026-0022</t>
  </si>
  <si>
    <t>TKT-2026-0023</t>
  </si>
  <si>
    <t>TKT-2026-0024</t>
  </si>
  <si>
    <t>TKT-2026-0025</t>
  </si>
  <si>
    <t>TKT-2026-0026</t>
  </si>
  <si>
    <t>TKT-2026-0027</t>
  </si>
  <si>
    <t>TKT-2026-0028</t>
  </si>
  <si>
    <t>TKT-2026-0029</t>
  </si>
  <si>
    <t>TKT-2026-0030</t>
  </si>
  <si>
    <t>TKT-2026-0031</t>
  </si>
  <si>
    <t>TKT-2026-0032</t>
  </si>
  <si>
    <t>TKT-2026-0033</t>
  </si>
  <si>
    <t>TKT-2026-0034</t>
  </si>
  <si>
    <t>TKT-2026-0035</t>
  </si>
  <si>
    <t>TKT-2026-0036</t>
  </si>
  <si>
    <t>TKT-2026-0037</t>
  </si>
  <si>
    <t>TKT-2026-0038</t>
  </si>
  <si>
    <t>TKT-2026-0039</t>
  </si>
  <si>
    <t>TKT-2026-0040</t>
  </si>
  <si>
    <t>TKT-2026-0041</t>
  </si>
  <si>
    <t>TKT-2026-0042</t>
  </si>
  <si>
    <t>TKT-2026-0043</t>
  </si>
  <si>
    <t>TKT-2026-0044</t>
  </si>
  <si>
    <t>TKT-2026-0045</t>
  </si>
  <si>
    <t>TKT-2026-0046</t>
  </si>
  <si>
    <t>TKT-2026-0047</t>
  </si>
  <si>
    <t>TKT-2026-0048</t>
  </si>
  <si>
    <t>TKT-2026-0049</t>
  </si>
  <si>
    <t>TKT-2026-0050</t>
  </si>
  <si>
    <t>TKT-2026-0051</t>
  </si>
  <si>
    <t>TKT-2026-0052</t>
  </si>
  <si>
    <t>TKT-2026-0053</t>
  </si>
  <si>
    <t>TKT-2026-0054</t>
  </si>
  <si>
    <t>TKT-2026-0055</t>
  </si>
  <si>
    <t>TKT-2026-0056</t>
  </si>
  <si>
    <t>TKT-2026-0057</t>
  </si>
  <si>
    <t>TKT-2026-0058</t>
  </si>
  <si>
    <t>TKT-2026-0059</t>
  </si>
  <si>
    <t>TKT-2026-0060</t>
  </si>
  <si>
    <t>TKT-2026-0061</t>
  </si>
  <si>
    <t>TKT-2026-0062</t>
  </si>
  <si>
    <t>TKT-2026-0063</t>
  </si>
  <si>
    <t>TKT-2026-0064</t>
  </si>
  <si>
    <t>TKT-2026-0065</t>
  </si>
  <si>
    <t>TKT-2026-0066</t>
  </si>
  <si>
    <t>TKT-2026-0067</t>
  </si>
  <si>
    <t>TKT-2026-0068</t>
  </si>
  <si>
    <t>TKT-2026-0069</t>
  </si>
  <si>
    <t>TKT-2026-0070</t>
  </si>
  <si>
    <t>TKT-2026-0071</t>
  </si>
  <si>
    <t>TKT-2026-0072</t>
  </si>
  <si>
    <t>TKT-2026-0073</t>
  </si>
  <si>
    <t>TKT-2026-0074</t>
  </si>
  <si>
    <t>TKT-2026-0075</t>
  </si>
  <si>
    <t>TKT-2026-0076</t>
  </si>
  <si>
    <t>TKT-2026-0077</t>
  </si>
  <si>
    <t>TKT-2026-0078</t>
  </si>
  <si>
    <t>TKT-2026-0079</t>
  </si>
  <si>
    <t>TKT-2026-0080</t>
  </si>
  <si>
    <t>TKT-2026-0081</t>
  </si>
  <si>
    <t>TKT-2026-0082</t>
  </si>
  <si>
    <t>TKT-2026-0083</t>
  </si>
  <si>
    <t>TKT-2026-0084</t>
  </si>
  <si>
    <t>TKT-2026-0085</t>
  </si>
  <si>
    <t>TKT-2026-0086</t>
  </si>
  <si>
    <t>TKT-2026-0087</t>
  </si>
  <si>
    <t>TKT-2026-0088</t>
  </si>
  <si>
    <t>TKT-2026-0089</t>
  </si>
  <si>
    <t>TKT-2026-0090</t>
  </si>
  <si>
    <t>TKT-2026-0091</t>
  </si>
  <si>
    <t>TKT-2026-0092</t>
  </si>
  <si>
    <t>TKT-2026-0093</t>
  </si>
  <si>
    <t>TKT-2026-0094</t>
  </si>
  <si>
    <t>TKT-2026-0095</t>
  </si>
  <si>
    <t>TKT-2026-0096</t>
  </si>
  <si>
    <t>TKT-2026-0097</t>
  </si>
  <si>
    <t>TKT-2026-0098</t>
  </si>
  <si>
    <t>TKT-2026-0099</t>
  </si>
  <si>
    <t>TKT-2026-0100</t>
  </si>
  <si>
    <t>TKT-2026-0101</t>
  </si>
  <si>
    <t>TKT-2026-0102</t>
  </si>
  <si>
    <t>TKT-2026-0103</t>
  </si>
  <si>
    <t>TKT-2026-0104</t>
  </si>
  <si>
    <t>TKT-2026-0105</t>
  </si>
  <si>
    <t>TKT-2026-0106</t>
  </si>
  <si>
    <t>TKT-2026-0107</t>
  </si>
  <si>
    <t>TKT-2026-0108</t>
  </si>
  <si>
    <t>TKT-2026-0109</t>
  </si>
  <si>
    <t>TKT-2026-0110</t>
  </si>
  <si>
    <t>TKT-2026-0111</t>
  </si>
  <si>
    <t>TKT-2026-0112</t>
  </si>
  <si>
    <t>TKT-2026-0113</t>
  </si>
  <si>
    <t>TKT-2026-0114</t>
  </si>
  <si>
    <t>TKT-2026-0115</t>
  </si>
  <si>
    <t>TKT-2026-0116</t>
  </si>
  <si>
    <t>TKT-2026-0117</t>
  </si>
  <si>
    <t>TKT-2026-0118</t>
  </si>
  <si>
    <t>TKT-2026-0119</t>
  </si>
  <si>
    <t>TKT-2026-0120</t>
  </si>
  <si>
    <t>TKT-2026-0121</t>
  </si>
  <si>
    <t>TKT-2026-0122</t>
  </si>
  <si>
    <t>TKT-2026-0123</t>
  </si>
  <si>
    <t>TKT-2026-0124</t>
  </si>
  <si>
    <t>TKT-2026-0125</t>
  </si>
  <si>
    <t>TKT-2026-0126</t>
  </si>
  <si>
    <t>TKT-2026-0127</t>
  </si>
  <si>
    <t>TKT-2026-0128</t>
  </si>
  <si>
    <t>TKT-2026-0129</t>
  </si>
  <si>
    <t>TKT-2026-0130</t>
  </si>
  <si>
    <t>TKT-2026-0131</t>
  </si>
  <si>
    <t>TKT-2026-0132</t>
  </si>
  <si>
    <t>TKT-2026-0133</t>
  </si>
  <si>
    <t>TKT-2026-0134</t>
  </si>
  <si>
    <t>TKT-2026-0135</t>
  </si>
  <si>
    <t>TKT-2026-0136</t>
  </si>
  <si>
    <t>TKT-2026-0137</t>
  </si>
  <si>
    <t>TKT-2026-0138</t>
  </si>
  <si>
    <t>TKT-2026-0139</t>
  </si>
  <si>
    <t>TKT-2026-0140</t>
  </si>
  <si>
    <t>TKT-2026-0141</t>
  </si>
  <si>
    <t>TKT-2026-0142</t>
  </si>
  <si>
    <t>TKT-2026-0143</t>
  </si>
  <si>
    <t>TKT-2026-0144</t>
  </si>
  <si>
    <t>TKT-2026-0145</t>
  </si>
  <si>
    <t>TKT-2026-0146</t>
  </si>
  <si>
    <t>TKT-2026-0147</t>
  </si>
  <si>
    <t>TKT-2026-0148</t>
  </si>
  <si>
    <t>TKT-2026-0149</t>
  </si>
  <si>
    <t>TKT-2026-0150</t>
  </si>
  <si>
    <t>TKT-2026-0151</t>
  </si>
  <si>
    <t>TKT-2026-0152</t>
  </si>
  <si>
    <t>TKT-2026-0153</t>
  </si>
  <si>
    <t>TKT-2026-0154</t>
  </si>
  <si>
    <t>TKT-2026-0155</t>
  </si>
  <si>
    <t>TKT-2026-0156</t>
  </si>
  <si>
    <t>TKT-2026-0157</t>
  </si>
  <si>
    <t>TKT-2026-0158</t>
  </si>
  <si>
    <t>TKT-2026-0159</t>
  </si>
  <si>
    <t>TKT-2026-0160</t>
  </si>
  <si>
    <t>TKT-2026-0161</t>
  </si>
  <si>
    <t>TKT-2026-0162</t>
  </si>
  <si>
    <t>TKT-2026-0163</t>
  </si>
  <si>
    <t>TKT-2026-0164</t>
  </si>
  <si>
    <t>TKT-2026-0165</t>
  </si>
  <si>
    <t>TKT-2026-0166</t>
  </si>
  <si>
    <t>TKT-2026-0167</t>
  </si>
  <si>
    <t>TKT-2026-0168</t>
  </si>
  <si>
    <t>TKT-2026-0169</t>
  </si>
  <si>
    <t>TKT-2026-0170</t>
  </si>
  <si>
    <t>TKT-2026-0171</t>
  </si>
  <si>
    <t>TKT-2026-0172</t>
  </si>
  <si>
    <t>TKT-2026-0173</t>
  </si>
  <si>
    <t>TKT-2026-0174</t>
  </si>
  <si>
    <t>TKT-2026-0175</t>
  </si>
  <si>
    <t>TKT-2026-0176</t>
  </si>
  <si>
    <t>TKT-2026-0177</t>
  </si>
  <si>
    <t>TKT-2026-0178</t>
  </si>
  <si>
    <t>TKT-2026-0179</t>
  </si>
  <si>
    <t>TKT-2026-0180</t>
  </si>
  <si>
    <t>TKT-2026-0181</t>
  </si>
  <si>
    <t>TKT-2026-0182</t>
  </si>
  <si>
    <t>TKT-2026-0183</t>
  </si>
  <si>
    <t>TKT-2026-0184</t>
  </si>
  <si>
    <t>TKT-2026-0185</t>
  </si>
  <si>
    <t>TKT-2026-0186</t>
  </si>
  <si>
    <t>TKT-2026-0187</t>
  </si>
  <si>
    <t>TKT-2026-0188</t>
  </si>
  <si>
    <t>TKT-2026-0189</t>
  </si>
  <si>
    <t>TKT-2026-0190</t>
  </si>
  <si>
    <t>TKT-2026-0191</t>
  </si>
  <si>
    <t>TKT-2026-0192</t>
  </si>
  <si>
    <t>TKT-2026-0193</t>
  </si>
  <si>
    <t>TKT-2026-0194</t>
  </si>
  <si>
    <t>TKT-2026-0195</t>
  </si>
  <si>
    <t>TKT-2026-0196</t>
  </si>
  <si>
    <t>TKT-2026-0197</t>
  </si>
  <si>
    <t>TKT-2026-0198</t>
  </si>
  <si>
    <t>TKT-2026-0199</t>
  </si>
  <si>
    <t>TKT-2026-0200</t>
  </si>
  <si>
    <t>TKT-2026-0201</t>
  </si>
  <si>
    <t>TKT-2026-0202</t>
  </si>
  <si>
    <t>TKT-2026-0203</t>
  </si>
  <si>
    <t>TKT-2026-0204</t>
  </si>
  <si>
    <t>TKT-2026-0205</t>
  </si>
  <si>
    <t>TKT-2026-0206</t>
  </si>
  <si>
    <t>TKT-2026-0207</t>
  </si>
  <si>
    <t>TKT-2026-0208</t>
  </si>
  <si>
    <t>TKT-2026-0209</t>
  </si>
  <si>
    <t>TKT-2026-0210</t>
  </si>
  <si>
    <t>TKT-2026-0211</t>
  </si>
  <si>
    <t>TKT-2026-0212</t>
  </si>
  <si>
    <t>TKT-2026-0213</t>
  </si>
  <si>
    <t>TKT-2026-0214</t>
  </si>
  <si>
    <t>TKT-2026-0215</t>
  </si>
  <si>
    <t>TKT-2026-0216</t>
  </si>
  <si>
    <t>TKT-2026-0217</t>
  </si>
  <si>
    <t>TKT-2026-0218</t>
  </si>
  <si>
    <t>TKT-2026-0219</t>
  </si>
  <si>
    <t>TKT-2026-0220</t>
  </si>
  <si>
    <t>TKT-2026-0221</t>
  </si>
  <si>
    <t>TKT-2026-0222</t>
  </si>
  <si>
    <t>TKT-2026-0223</t>
  </si>
  <si>
    <t>TKT-2026-0224</t>
  </si>
  <si>
    <t>TKT-2026-0225</t>
  </si>
  <si>
    <t>TKT-2026-0226</t>
  </si>
  <si>
    <t>TKT-2026-0227</t>
  </si>
  <si>
    <t>TKT-2026-0228</t>
  </si>
  <si>
    <t>TKT-2026-0229</t>
  </si>
  <si>
    <t>TKT-2026-0230</t>
  </si>
  <si>
    <t>TKT-2026-0231</t>
  </si>
  <si>
    <t>TKT-2026-0232</t>
  </si>
  <si>
    <t>TKT-2026-0233</t>
  </si>
  <si>
    <t>TKT-2026-0234</t>
  </si>
  <si>
    <t>TKT-2026-0235</t>
  </si>
  <si>
    <t>TKT-2026-0236</t>
  </si>
  <si>
    <t>TKT-2026-0237</t>
  </si>
  <si>
    <t>TKT-2026-0238</t>
  </si>
  <si>
    <t>TKT-2026-0239</t>
  </si>
  <si>
    <t>TKT-2026-0240</t>
  </si>
  <si>
    <t>TKT-2026-0241</t>
  </si>
  <si>
    <t>TKT-2026-0242</t>
  </si>
  <si>
    <t>TKT-2026-0243</t>
  </si>
  <si>
    <t>TKT-2026-0244</t>
  </si>
  <si>
    <t>TKT-2026-0245</t>
  </si>
  <si>
    <t>TKT-2026-0246</t>
  </si>
  <si>
    <t>TKT-2026-0247</t>
  </si>
  <si>
    <t>TKT-2026-0248</t>
  </si>
  <si>
    <t>TKT-2026-0249</t>
  </si>
  <si>
    <t>TKT-2026-0250</t>
  </si>
  <si>
    <t>TKT-2026-0251</t>
  </si>
  <si>
    <t>TKT-2026-0252</t>
  </si>
  <si>
    <t>TKT-2026-0253</t>
  </si>
  <si>
    <t>TKT-2026-0254</t>
  </si>
  <si>
    <t>TKT-2026-0255</t>
  </si>
  <si>
    <t>TKT-2026-0256</t>
  </si>
  <si>
    <t>TKT-2026-0257</t>
  </si>
  <si>
    <t>TKT-2026-0258</t>
  </si>
  <si>
    <t>TKT-2026-0259</t>
  </si>
  <si>
    <t>TKT-2026-0260</t>
  </si>
  <si>
    <t>TKT-2026-0261</t>
  </si>
  <si>
    <t>TKT-2026-0262</t>
  </si>
  <si>
    <t>TKT-2026-0263</t>
  </si>
  <si>
    <t>TKT-2026-0264</t>
  </si>
  <si>
    <t>TKT-2026-0265</t>
  </si>
  <si>
    <t>TKT-2026-0266</t>
  </si>
  <si>
    <t>TKT-2026-0267</t>
  </si>
  <si>
    <t>TKT-2026-0268</t>
  </si>
  <si>
    <t>TKT-2026-0269</t>
  </si>
  <si>
    <t>TKT-2026-0270</t>
  </si>
  <si>
    <t>TKT-2026-0271</t>
  </si>
  <si>
    <t>TKT-2026-0272</t>
  </si>
  <si>
    <t>TKT-2026-0273</t>
  </si>
  <si>
    <t>TKT-2026-0274</t>
  </si>
  <si>
    <t>TKT-2026-0275</t>
  </si>
  <si>
    <t>TKT-2026-0276</t>
  </si>
  <si>
    <t>TKT-2026-0277</t>
  </si>
  <si>
    <t>TKT-2026-0278</t>
  </si>
  <si>
    <t>TKT-2026-0279</t>
  </si>
  <si>
    <t>TKT-2026-0280</t>
  </si>
  <si>
    <t>TKT-2026-0281</t>
  </si>
  <si>
    <t>TKT-2026-0282</t>
  </si>
  <si>
    <t>TKT-2026-0283</t>
  </si>
  <si>
    <t>TKT-2026-0284</t>
  </si>
  <si>
    <t>TKT-2026-0285</t>
  </si>
  <si>
    <t>TKT-2026-0286</t>
  </si>
  <si>
    <t>TKT-2026-0287</t>
  </si>
  <si>
    <t>TKT-2026-0288</t>
  </si>
  <si>
    <t>TKT-2026-0289</t>
  </si>
  <si>
    <t>TKT-2026-0290</t>
  </si>
  <si>
    <t>TKT-2026-0291</t>
  </si>
  <si>
    <t>TKT-2026-0292</t>
  </si>
  <si>
    <t>TKT-2026-0293</t>
  </si>
  <si>
    <t>TKT-2026-0294</t>
  </si>
  <si>
    <t>TKT-2026-0295</t>
  </si>
  <si>
    <t>TKT-2026-0296</t>
  </si>
  <si>
    <t>TKT-2026-0297</t>
  </si>
  <si>
    <t>TKT-2026-0298</t>
  </si>
  <si>
    <t>TKT-2026-0299</t>
  </si>
  <si>
    <t>TKT-2026-0300</t>
  </si>
  <si>
    <t>TKT-2026-0301</t>
  </si>
  <si>
    <t>TKT-2026-0302</t>
  </si>
  <si>
    <t>TKT-2026-0303</t>
  </si>
  <si>
    <t>TKT-2026-0304</t>
  </si>
  <si>
    <t>TKT-2026-0305</t>
  </si>
  <si>
    <t>TKT-2026-0306</t>
  </si>
  <si>
    <t>TKT-2026-0307</t>
  </si>
  <si>
    <t>TKT-2026-0308</t>
  </si>
  <si>
    <t>TKT-2026-0309</t>
  </si>
  <si>
    <t>TKT-2026-0310</t>
  </si>
  <si>
    <t>TKT-2026-0311</t>
  </si>
  <si>
    <t>TKT-2026-0312</t>
  </si>
  <si>
    <t>TKT-2026-0313</t>
  </si>
  <si>
    <t>TKT-2026-0314</t>
  </si>
  <si>
    <t>TKT-2026-0315</t>
  </si>
  <si>
    <t>TKT-2026-0316</t>
  </si>
  <si>
    <t>TKT-2026-0317</t>
  </si>
  <si>
    <t>TKT-2026-0318</t>
  </si>
  <si>
    <t>TKT-2026-0319</t>
  </si>
  <si>
    <t>TKT-2026-0320</t>
  </si>
  <si>
    <t>TKT-2026-0321</t>
  </si>
  <si>
    <t>TKT-2026-0322</t>
  </si>
  <si>
    <t>TKT-2026-0323</t>
  </si>
  <si>
    <t>TKT-2026-0324</t>
  </si>
  <si>
    <t>TKT-2026-0325</t>
  </si>
  <si>
    <t>TKT-2026-0326</t>
  </si>
  <si>
    <t>TKT-2026-0327</t>
  </si>
  <si>
    <t>TKT-2026-0328</t>
  </si>
  <si>
    <t>TKT-2026-0329</t>
  </si>
  <si>
    <t>TKT-2026-0330</t>
  </si>
  <si>
    <t>TKT-2026-0331</t>
  </si>
  <si>
    <t>TKT-2026-0332</t>
  </si>
  <si>
    <t>TKT-2026-0333</t>
  </si>
  <si>
    <t>TKT-2026-0334</t>
  </si>
  <si>
    <t>TKT-2026-0335</t>
  </si>
  <si>
    <t>TKT-2026-0336</t>
  </si>
  <si>
    <t>TKT-2026-0337</t>
  </si>
  <si>
    <t>TKT-2026-0338</t>
  </si>
  <si>
    <t>TKT-2026-0339</t>
  </si>
  <si>
    <t>TKT-2026-0340</t>
  </si>
  <si>
    <t>TKT-2026-0341</t>
  </si>
  <si>
    <t>TKT-2026-0342</t>
  </si>
  <si>
    <t>TKT-2026-0343</t>
  </si>
  <si>
    <t>TKT-2026-0344</t>
  </si>
  <si>
    <t>TKT-2026-0345</t>
  </si>
  <si>
    <t>TKT-2026-0346</t>
  </si>
  <si>
    <t>TKT-2026-0347</t>
  </si>
  <si>
    <t>TKT-2026-0348</t>
  </si>
  <si>
    <t>TKT-2026-0349</t>
  </si>
  <si>
    <t>TKT-2026-0350</t>
  </si>
  <si>
    <t>TKT-2026-0351</t>
  </si>
  <si>
    <t>TKT-2026-0352</t>
  </si>
  <si>
    <t>TKT-2026-0353</t>
  </si>
  <si>
    <t>TKT-2026-0354</t>
  </si>
  <si>
    <t>TKT-2026-0355</t>
  </si>
  <si>
    <t>TKT-2026-0356</t>
  </si>
  <si>
    <t>TKT-2026-0357</t>
  </si>
  <si>
    <t>TKT-2026-0358</t>
  </si>
  <si>
    <t>TKT-2026-0359</t>
  </si>
  <si>
    <t>TKT-2026-0360</t>
  </si>
  <si>
    <t>TKT-2026-0361</t>
  </si>
  <si>
    <t>TKT-2026-0362</t>
  </si>
  <si>
    <t>TKT-2026-0363</t>
  </si>
  <si>
    <t>TKT-2026-0364</t>
  </si>
  <si>
    <t>TKT-2026-0365</t>
  </si>
  <si>
    <t>TKT-2026-0366</t>
  </si>
  <si>
    <t>TKT-2026-0367</t>
  </si>
  <si>
    <t>TKT-2026-0368</t>
  </si>
  <si>
    <t>TKT-2026-0369</t>
  </si>
  <si>
    <t>TKT-2026-0370</t>
  </si>
  <si>
    <t>TKT-2026-0371</t>
  </si>
  <si>
    <t>TKT-2026-0372</t>
  </si>
  <si>
    <t>TKT-2026-0373</t>
  </si>
  <si>
    <t>TKT-2026-0374</t>
  </si>
  <si>
    <t>TKT-2026-0375</t>
  </si>
  <si>
    <t>TKT-2026-0376</t>
  </si>
  <si>
    <t>TKT-2026-0377</t>
  </si>
  <si>
    <t>TKT-2026-0378</t>
  </si>
  <si>
    <t>TKT-2026-0379</t>
  </si>
  <si>
    <t>TKT-2026-0380</t>
  </si>
  <si>
    <t>Period</t>
  </si>
  <si>
    <t>Total_Tickets</t>
  </si>
  <si>
    <t>Late_Tickets</t>
  </si>
  <si>
    <t>Late_Percentage</t>
  </si>
  <si>
    <t>Historical Baseline</t>
  </si>
  <si>
    <t>Current Period</t>
  </si>
  <si>
    <t>Reduction Achieved:</t>
  </si>
  <si>
    <t>Row Labels</t>
  </si>
  <si>
    <t>Grand Total</t>
  </si>
  <si>
    <t>Column Labels</t>
  </si>
  <si>
    <t>Apr-2026</t>
  </si>
  <si>
    <t>Dec-2025</t>
  </si>
  <si>
    <t>Feb-2026</t>
  </si>
  <si>
    <t>Jan-2026</t>
  </si>
  <si>
    <t>Mar-2026</t>
  </si>
  <si>
    <t>Nov-2025</t>
  </si>
  <si>
    <t>Total Repairs</t>
  </si>
  <si>
    <t>Total Total Repairs</t>
  </si>
  <si>
    <t>Total Breaches</t>
  </si>
  <si>
    <t>Breaches</t>
  </si>
  <si>
    <t>Vendor SLA Performance Dashboard</t>
  </si>
  <si>
    <t>Total Annual Spend</t>
  </si>
  <si>
    <t>Device Count</t>
  </si>
  <si>
    <t>Regional Procurement Spend Analysis</t>
  </si>
  <si>
    <t>GLOBAL VENDOR &amp; ASSET COMMAND CENTER</t>
  </si>
  <si>
    <t>KEY PERFORMANCE INDICATORS</t>
  </si>
  <si>
    <t>Current SLA Breach Rate</t>
  </si>
  <si>
    <t>SLA Improvement</t>
  </si>
  <si>
    <t>Active Contracts</t>
  </si>
  <si>
    <t>CT-Leno-2026-007</t>
  </si>
  <si>
    <t>CT-Sams-2026-011</t>
  </si>
  <si>
    <t>CT-Leno-2026-021</t>
  </si>
  <si>
    <t>CT-Sams-2026-025</t>
  </si>
  <si>
    <t>CT-Dell-2026-026</t>
  </si>
  <si>
    <t>Mobi-EME-0036</t>
  </si>
  <si>
    <t>CT-HP I-2026-046</t>
  </si>
  <si>
    <t>CT-Sams-2026-063</t>
  </si>
  <si>
    <t>CT-Dell-2026-069</t>
  </si>
  <si>
    <t>CT-Fuji-2026-075</t>
  </si>
  <si>
    <t>CT-Fuji-2026-092</t>
  </si>
  <si>
    <t>Desk-APA-0096</t>
  </si>
  <si>
    <t>CT-HP I-2026-108</t>
  </si>
  <si>
    <t>CT-Sams-2026-110</t>
  </si>
  <si>
    <t>CT-Appl-2026-113</t>
  </si>
  <si>
    <t>CT-Cisc-2026-119</t>
  </si>
  <si>
    <t>Mobi-EME-0124</t>
  </si>
  <si>
    <t>Desk-LAT-0134</t>
  </si>
  <si>
    <t>CT-Cisc-2026-136</t>
  </si>
  <si>
    <t>CT-Dell-2026-137</t>
  </si>
  <si>
    <t>Desk-LAT-0146</t>
  </si>
  <si>
    <t>CT-HP I-2026-151</t>
  </si>
  <si>
    <t>CT-Appl-2026-155</t>
  </si>
  <si>
    <t>Netw-AME-0163</t>
  </si>
  <si>
    <t>CT-HP I-2026-163</t>
  </si>
  <si>
    <t>CT-Sams-2026-175</t>
  </si>
  <si>
    <t>CT-HP I-2026-179</t>
  </si>
  <si>
    <t>CT-Appl-2026-182</t>
  </si>
  <si>
    <t>Lapt-AME-0184</t>
  </si>
  <si>
    <t>CT-Fuji-2026-188</t>
  </si>
  <si>
    <t>Mobi-EME-0191</t>
  </si>
  <si>
    <t>CT-Appl-2026-194</t>
  </si>
  <si>
    <t>CT-Cisc-2026-216</t>
  </si>
  <si>
    <t>CT-HP I-2026-220</t>
  </si>
  <si>
    <t>CT-Cisc-2026-224</t>
  </si>
  <si>
    <t>CT-Dell-2026-228</t>
  </si>
  <si>
    <t>CT-Appl-2026-230</t>
  </si>
  <si>
    <t>CT-Appl-2026-231</t>
  </si>
  <si>
    <t>CT-Appl-2026-235</t>
  </si>
  <si>
    <t>Prin-LAT-0236</t>
  </si>
  <si>
    <t>CT-Dell-2026-237</t>
  </si>
  <si>
    <t>CT-Appl-2026-238</t>
  </si>
  <si>
    <t>CT-Leno-2026-240</t>
  </si>
  <si>
    <t>CT-Leno-2026-241</t>
  </si>
  <si>
    <t>CT-Leno-2026-247</t>
  </si>
  <si>
    <t>CT-Appl-2026-249</t>
  </si>
  <si>
    <t>Prin-AME-0254</t>
  </si>
  <si>
    <t>CT-Fuji-2026-257</t>
  </si>
  <si>
    <t>Desk-AME-0258</t>
  </si>
  <si>
    <t>CT-Dell-2026-259</t>
  </si>
  <si>
    <t>Serv-LAT-0264</t>
  </si>
  <si>
    <t>CT-Appl-2026-269</t>
  </si>
  <si>
    <t>CT-Dell-2026-273</t>
  </si>
  <si>
    <t>Prin-LAT-0286</t>
  </si>
  <si>
    <t>Desk-AME-0289</t>
  </si>
  <si>
    <t>CT-Dell-2026-290</t>
  </si>
  <si>
    <t>CT-Leno-2026-295</t>
  </si>
  <si>
    <t>CT-Leno-2026-297</t>
  </si>
  <si>
    <t>CT-Fuji-2026-298</t>
  </si>
  <si>
    <t>CT-Cisc-2026-302</t>
  </si>
  <si>
    <t>CT-HP I-2026-308</t>
  </si>
  <si>
    <t>Desk-LAT-0311</t>
  </si>
  <si>
    <t>CT-Dell-2026-321</t>
  </si>
  <si>
    <t>CT-Appl-2026-328</t>
  </si>
  <si>
    <t>CT-Leno-2026-329</t>
  </si>
  <si>
    <t>CT-Cisc-2026-330</t>
  </si>
  <si>
    <t>Mobi-LAT-0332</t>
  </si>
  <si>
    <t>CT-HP I-2026-345</t>
  </si>
  <si>
    <t>CT-Leno-2026-351</t>
  </si>
  <si>
    <t>CT-HP I-2026-357</t>
  </si>
  <si>
    <t>CT-Appl-2026-371</t>
  </si>
  <si>
    <t>CT-Cisc-2026-372</t>
  </si>
  <si>
    <t>Desk-LAT-0382</t>
  </si>
  <si>
    <t>CT-Sams-2026-385</t>
  </si>
  <si>
    <t>CT-Sams-2026-402</t>
  </si>
  <si>
    <t>CT-HP I-2026-405</t>
  </si>
  <si>
    <t>Lapt-LAT-0422</t>
  </si>
  <si>
    <t>CT-Dell-2026-423</t>
  </si>
  <si>
    <t>CT-Cisc-2026-431</t>
  </si>
  <si>
    <t>CT-Sams-2026-438</t>
  </si>
  <si>
    <t>CT-Sams-2026-442</t>
  </si>
  <si>
    <t>CT-Dell-2026-448</t>
  </si>
  <si>
    <t>CT-Leno-2026-453</t>
  </si>
  <si>
    <t>CT-Sams-2026-475</t>
  </si>
  <si>
    <t>CT-Fuji-2026-486</t>
  </si>
  <si>
    <t>CT-Fuji-2026-494</t>
  </si>
  <si>
    <t>Prin-EME-0502</t>
  </si>
  <si>
    <t>CT-Appl-2026-507</t>
  </si>
  <si>
    <t>Netw-APA-0508</t>
  </si>
  <si>
    <t>Prin-APA-0509</t>
  </si>
  <si>
    <t>CT-Appl-2026-509</t>
  </si>
  <si>
    <t>CT-Leno-2026-512</t>
  </si>
  <si>
    <t>Serv-AME-0001</t>
  </si>
  <si>
    <t>SN770720</t>
  </si>
  <si>
    <t>CT-Sams-2026-001</t>
  </si>
  <si>
    <t>Desk-AME-0002</t>
  </si>
  <si>
    <t>SN492136</t>
  </si>
  <si>
    <t>Serv-APA-0003</t>
  </si>
  <si>
    <t>SN251402</t>
  </si>
  <si>
    <t>CT-Appl-2026-003</t>
  </si>
  <si>
    <t>Serv-APA-0004</t>
  </si>
  <si>
    <t>SN464965</t>
  </si>
  <si>
    <t>CT-Dell-2026-004</t>
  </si>
  <si>
    <t>Serv-AME-0005</t>
  </si>
  <si>
    <t>SN1023470</t>
  </si>
  <si>
    <t>CT-Sams-2026-005</t>
  </si>
  <si>
    <t>Serv-AME-0006</t>
  </si>
  <si>
    <t>SN541081</t>
  </si>
  <si>
    <t>CT-Leno-2026-006</t>
  </si>
  <si>
    <t>Desk-APA-0007</t>
  </si>
  <si>
    <t>SN1042591</t>
  </si>
  <si>
    <t>Lapt-LAT-0008</t>
  </si>
  <si>
    <t>SN143773</t>
  </si>
  <si>
    <t>CT-Cisc-2026-008</t>
  </si>
  <si>
    <t>Serv-APA-0009</t>
  </si>
  <si>
    <t>SN644618</t>
  </si>
  <si>
    <t>CT-HP I-2026-009</t>
  </si>
  <si>
    <t>Mobi-APA-0010</t>
  </si>
  <si>
    <t>SN268650</t>
  </si>
  <si>
    <t>CT-Leno-2026-010</t>
  </si>
  <si>
    <t>Mobi-EME-0011</t>
  </si>
  <si>
    <t>SN622252</t>
  </si>
  <si>
    <t>Serv-LAT-0012</t>
  </si>
  <si>
    <t>SN1081799</t>
  </si>
  <si>
    <t>CT-Appl-2026-012</t>
  </si>
  <si>
    <t>Lapt-APA-0013</t>
  </si>
  <si>
    <t>SN446235</t>
  </si>
  <si>
    <t>CT-Dell-2026-013</t>
  </si>
  <si>
    <t>Desk-APA-0014</t>
  </si>
  <si>
    <t>SN709327</t>
  </si>
  <si>
    <t>CT-Dell-2026-014</t>
  </si>
  <si>
    <t>Desk-AME-0015</t>
  </si>
  <si>
    <t>SN1037320</t>
  </si>
  <si>
    <t>CT-Dell-2026-015</t>
  </si>
  <si>
    <t>Desk-APA-0016</t>
  </si>
  <si>
    <t>SN999567</t>
  </si>
  <si>
    <t>CT-Fuji-2026-016</t>
  </si>
  <si>
    <t>Netw-AME-0017</t>
  </si>
  <si>
    <t>SN745277</t>
  </si>
  <si>
    <t>CT-Dell-2026-017</t>
  </si>
  <si>
    <t>Desk-AME-0018</t>
  </si>
  <si>
    <t>SN289199</t>
  </si>
  <si>
    <t>CT-Fuji-2026-018</t>
  </si>
  <si>
    <t>Prin-LAT-0019</t>
  </si>
  <si>
    <t>SN441177</t>
  </si>
  <si>
    <t>CT-Sams-2026-019</t>
  </si>
  <si>
    <t>Desk-APA-0020</t>
  </si>
  <si>
    <t>SN454510</t>
  </si>
  <si>
    <t>CT-Cisc-2026-020</t>
  </si>
  <si>
    <t>Prin-AME-0021</t>
  </si>
  <si>
    <t>SN879207</t>
  </si>
  <si>
    <t>Prin-AME-0022</t>
  </si>
  <si>
    <t>SN779077</t>
  </si>
  <si>
    <t>CT-Appl-2026-022</t>
  </si>
  <si>
    <t>Mobi-APA-0023</t>
  </si>
  <si>
    <t>SN734273</t>
  </si>
  <si>
    <t>Netw-LAT-0024</t>
  </si>
  <si>
    <t>SN419099</t>
  </si>
  <si>
    <t>CT-Leno-2026-024</t>
  </si>
  <si>
    <t>Mobi-AME-0025</t>
  </si>
  <si>
    <t>SN971622</t>
  </si>
  <si>
    <t>Serv-EME-0026</t>
  </si>
  <si>
    <t>SN497628</t>
  </si>
  <si>
    <t>Desk-LAT-0027</t>
  </si>
  <si>
    <t>SN454757</t>
  </si>
  <si>
    <t>CT-Dell-2026-027</t>
  </si>
  <si>
    <t>Mobi-AME-0028</t>
  </si>
  <si>
    <t>SN108973</t>
  </si>
  <si>
    <t>CT-Sams-2026-028</t>
  </si>
  <si>
    <t>Netw-EME-0029</t>
  </si>
  <si>
    <t>SN947876</t>
  </si>
  <si>
    <t>CT-Cisc-2026-029</t>
  </si>
  <si>
    <t>Desk-APA-0030</t>
  </si>
  <si>
    <t>SN764492</t>
  </si>
  <si>
    <t>CT-HP I-2026-030</t>
  </si>
  <si>
    <t>Serv-APA-0031</t>
  </si>
  <si>
    <t>SN919095</t>
  </si>
  <si>
    <t>CT-Cisc-2026-031</t>
  </si>
  <si>
    <t>Lapt-LAT-0032</t>
  </si>
  <si>
    <t>SN1061057</t>
  </si>
  <si>
    <t>CT-Cisc-2026-032</t>
  </si>
  <si>
    <t>Serv-APA-0033</t>
  </si>
  <si>
    <t>SN800705</t>
  </si>
  <si>
    <t>Netw-APA-0034</t>
  </si>
  <si>
    <t>SN603412</t>
  </si>
  <si>
    <t>CT-Appl-2026-034</t>
  </si>
  <si>
    <t>Serv-AME-0035</t>
  </si>
  <si>
    <t>SN612701</t>
  </si>
  <si>
    <t>CT-Fuji-2026-035</t>
  </si>
  <si>
    <t>SN461694</t>
  </si>
  <si>
    <t>CT-Leno-2026-036</t>
  </si>
  <si>
    <t>Desk-EME-0037</t>
  </si>
  <si>
    <t>SN105855</t>
  </si>
  <si>
    <t>CT-Dell-2026-037</t>
  </si>
  <si>
    <t>Lapt-AME-0038</t>
  </si>
  <si>
    <t>SN695357</t>
  </si>
  <si>
    <t>CT-Appl-2026-038</t>
  </si>
  <si>
    <t>Mobi-LAT-0039</t>
  </si>
  <si>
    <t>SN830557</t>
  </si>
  <si>
    <t>CT-Dell-2026-039</t>
  </si>
  <si>
    <t>Lapt-AME-0040</t>
  </si>
  <si>
    <t>SN724760</t>
  </si>
  <si>
    <t>CT-Fuji-2026-040</t>
  </si>
  <si>
    <t>Desk-APA-0041</t>
  </si>
  <si>
    <t>SN787701</t>
  </si>
  <si>
    <t>CT-Appl-2026-041</t>
  </si>
  <si>
    <t>Desk-EME-0042</t>
  </si>
  <si>
    <t>SN581648</t>
  </si>
  <si>
    <t>CT-Cisc-2026-042</t>
  </si>
  <si>
    <t>Netw-APA-0043</t>
  </si>
  <si>
    <t>SN567841</t>
  </si>
  <si>
    <t>CT-Fuji-2026-043</t>
  </si>
  <si>
    <t>Prin-LAT-0044</t>
  </si>
  <si>
    <t>SN319801</t>
  </si>
  <si>
    <t>Mobi-APA-0045</t>
  </si>
  <si>
    <t>SN134882</t>
  </si>
  <si>
    <t>CT-Sams-2026-045</t>
  </si>
  <si>
    <t>Lapt-AME-0046</t>
  </si>
  <si>
    <t>SN117082</t>
  </si>
  <si>
    <t>Serv-EME-0047</t>
  </si>
  <si>
    <t>SN660552</t>
  </si>
  <si>
    <t>CT-Appl-2026-047</t>
  </si>
  <si>
    <t>Serv-APA-0048</t>
  </si>
  <si>
    <t>SN850147</t>
  </si>
  <si>
    <t>CT-Sams-2026-048</t>
  </si>
  <si>
    <t>Netw-APA-0049</t>
  </si>
  <si>
    <t>SN1065911</t>
  </si>
  <si>
    <t>CT-HP I-2026-049</t>
  </si>
  <si>
    <t>Lapt-LAT-0050</t>
  </si>
  <si>
    <t>SN173059</t>
  </si>
  <si>
    <t>CT-HP I-2026-050</t>
  </si>
  <si>
    <t>SN176134</t>
  </si>
  <si>
    <t>CT-Appl-2026-051</t>
  </si>
  <si>
    <t>Serv-EME-0052</t>
  </si>
  <si>
    <t>SN381048</t>
  </si>
  <si>
    <t>CT-Fuji-2026-052</t>
  </si>
  <si>
    <t>Lapt-EME-0053</t>
  </si>
  <si>
    <t>SN644819</t>
  </si>
  <si>
    <t>CT-Leno-2026-053</t>
  </si>
  <si>
    <t>Mobi-AME-0054</t>
  </si>
  <si>
    <t>SN590702</t>
  </si>
  <si>
    <t>CT-Sams-2026-054</t>
  </si>
  <si>
    <t>Serv-LAT-0055</t>
  </si>
  <si>
    <t>SN1054099</t>
  </si>
  <si>
    <t>CT-Cisc-2026-055</t>
  </si>
  <si>
    <t>Desk-AME-0056</t>
  </si>
  <si>
    <t>SN1017787</t>
  </si>
  <si>
    <t>CT-Appl-2026-056</t>
  </si>
  <si>
    <t>Desk-EME-0057</t>
  </si>
  <si>
    <t>SN846761</t>
  </si>
  <si>
    <t>CT-Sams-2026-057</t>
  </si>
  <si>
    <t>Lapt-EME-0058</t>
  </si>
  <si>
    <t>SN383991</t>
  </si>
  <si>
    <t>Mobi-APA-0059</t>
  </si>
  <si>
    <t>SN996659</t>
  </si>
  <si>
    <t>CT-Sams-2026-059</t>
  </si>
  <si>
    <t>Mobi-APA-0060</t>
  </si>
  <si>
    <t>SN733814</t>
  </si>
  <si>
    <t>Prin-AME-0061</t>
  </si>
  <si>
    <t>SN573656</t>
  </si>
  <si>
    <t>CT-HP I-2026-061</t>
  </si>
  <si>
    <t>Serv-APA-0062</t>
  </si>
  <si>
    <t>SN192878</t>
  </si>
  <si>
    <t>CT-Fuji-2026-062</t>
  </si>
  <si>
    <t>Netw-APA-0063</t>
  </si>
  <si>
    <t>SN609344</t>
  </si>
  <si>
    <t>Desk-LAT-0064</t>
  </si>
  <si>
    <t>SN448869</t>
  </si>
  <si>
    <t>CT-Cisc-2026-064</t>
  </si>
  <si>
    <t>Mobi-AME-0065</t>
  </si>
  <si>
    <t>SN919802</t>
  </si>
  <si>
    <t>Netw-EME-0066</t>
  </si>
  <si>
    <t>SN986417</t>
  </si>
  <si>
    <t>CT-Sams-2026-066</t>
  </si>
  <si>
    <t>Prin-LAT-0067</t>
  </si>
  <si>
    <t>SN791628</t>
  </si>
  <si>
    <t>CT-Dell-2026-067</t>
  </si>
  <si>
    <t>Netw-APA-0068</t>
  </si>
  <si>
    <t>SN357104</t>
  </si>
  <si>
    <t>CT-Cisc-2026-068</t>
  </si>
  <si>
    <t>Netw-APA-0069</t>
  </si>
  <si>
    <t>SN687506</t>
  </si>
  <si>
    <t>Mobi-LAT-0070</t>
  </si>
  <si>
    <t>SN1015892</t>
  </si>
  <si>
    <t>CT-Leno-2026-070</t>
  </si>
  <si>
    <t>Lapt-LAT-0071</t>
  </si>
  <si>
    <t>SN377556</t>
  </si>
  <si>
    <t>CT-Dell-2026-071</t>
  </si>
  <si>
    <t>Desk-EME-0072</t>
  </si>
  <si>
    <t>SN505211</t>
  </si>
  <si>
    <t>CT-Cisc-2026-072</t>
  </si>
  <si>
    <t>Netw-AME-0073</t>
  </si>
  <si>
    <t>SN152709</t>
  </si>
  <si>
    <t>CT-Cisc-2026-073</t>
  </si>
  <si>
    <t>Mobi-APA-0074</t>
  </si>
  <si>
    <t>SN1017936</t>
  </si>
  <si>
    <t>Prin-AME-0075</t>
  </si>
  <si>
    <t>SN1026369</t>
  </si>
  <si>
    <t>Desk-LAT-0076</t>
  </si>
  <si>
    <t>SN620546</t>
  </si>
  <si>
    <t>CT-HP I-2026-076</t>
  </si>
  <si>
    <t>Netw-LAT-0077</t>
  </si>
  <si>
    <t>SN1080607</t>
  </si>
  <si>
    <t>CT-Sams-2026-077</t>
  </si>
  <si>
    <t>Serv-APA-0078</t>
  </si>
  <si>
    <t>SN667659</t>
  </si>
  <si>
    <t>CT-HP I-2026-078</t>
  </si>
  <si>
    <t>Serv-EME-0079</t>
  </si>
  <si>
    <t>SN363130</t>
  </si>
  <si>
    <t>CT-Dell-2026-079</t>
  </si>
  <si>
    <t>Desk-LAT-0080</t>
  </si>
  <si>
    <t>SN189254</t>
  </si>
  <si>
    <t>CT-Cisc-2026-080</t>
  </si>
  <si>
    <t>Lapt-APA-0081</t>
  </si>
  <si>
    <t>SN991282</t>
  </si>
  <si>
    <t>CT-Sams-2026-081</t>
  </si>
  <si>
    <t>Prin-AME-0082</t>
  </si>
  <si>
    <t>SN281772</t>
  </si>
  <si>
    <t>CT-Leno-2026-082</t>
  </si>
  <si>
    <t>Lapt-AME-0083</t>
  </si>
  <si>
    <t>SN369342</t>
  </si>
  <si>
    <t>CT-Dell-2026-083</t>
  </si>
  <si>
    <t>Serv-EME-0084</t>
  </si>
  <si>
    <t>SN784393</t>
  </si>
  <si>
    <t>CT-HP I-2026-084</t>
  </si>
  <si>
    <t>Mobi-APA-0085</t>
  </si>
  <si>
    <t>SN675323</t>
  </si>
  <si>
    <t>Desk-LAT-0086</t>
  </si>
  <si>
    <t>SN771711</t>
  </si>
  <si>
    <t>CT-Dell-2026-086</t>
  </si>
  <si>
    <t>Prin-EME-0087</t>
  </si>
  <si>
    <t>SN1023583</t>
  </si>
  <si>
    <t>CT-Leno-2026-087</t>
  </si>
  <si>
    <t>Netw-LAT-0088</t>
  </si>
  <si>
    <t>SN644063</t>
  </si>
  <si>
    <t>CT-Sams-2026-088</t>
  </si>
  <si>
    <t>Prin-LAT-0089</t>
  </si>
  <si>
    <t>SN959449</t>
  </si>
  <si>
    <t>CT-HP I-2026-089</t>
  </si>
  <si>
    <t>Mobi-AME-0090</t>
  </si>
  <si>
    <t>SN846768</t>
  </si>
  <si>
    <t>CT-Leno-2026-090</t>
  </si>
  <si>
    <t>Prin-EME-0091</t>
  </si>
  <si>
    <t>SN192127</t>
  </si>
  <si>
    <t>CT-Cisc-2026-091</t>
  </si>
  <si>
    <t>Mobi-EME-0092</t>
  </si>
  <si>
    <t>SN499525</t>
  </si>
  <si>
    <t>Serv-APA-0093</t>
  </si>
  <si>
    <t>SN722141</t>
  </si>
  <si>
    <t>CT-Appl-2026-093</t>
  </si>
  <si>
    <t>Desk-LAT-0094</t>
  </si>
  <si>
    <t>SN467209</t>
  </si>
  <si>
    <t>CT-Leno-2026-094</t>
  </si>
  <si>
    <t>Prin-EME-0095</t>
  </si>
  <si>
    <t>SN769563</t>
  </si>
  <si>
    <t>CT-Fuji-2026-095</t>
  </si>
  <si>
    <t>SN653331</t>
  </si>
  <si>
    <t>CT-Leno-2026-096</t>
  </si>
  <si>
    <t>Desk-APA-0097</t>
  </si>
  <si>
    <t>SN159261</t>
  </si>
  <si>
    <t>CT-Cisc-2026-097</t>
  </si>
  <si>
    <t>Mobi-EME-0098</t>
  </si>
  <si>
    <t>SN547401</t>
  </si>
  <si>
    <t>CT-Appl-2026-098</t>
  </si>
  <si>
    <t>Mobi-APA-0099</t>
  </si>
  <si>
    <t>SN1069431</t>
  </si>
  <si>
    <t>CT-Fuji-2026-099</t>
  </si>
  <si>
    <t>Prin-LAT-0100</t>
  </si>
  <si>
    <t>SN307447</t>
  </si>
  <si>
    <t>CT-HP I-2026-100</t>
  </si>
  <si>
    <t>Netw-LAT-0101</t>
  </si>
  <si>
    <t>SN299676</t>
  </si>
  <si>
    <t>CT-Appl-2026-101</t>
  </si>
  <si>
    <t>Prin-EME-0102</t>
  </si>
  <si>
    <t>SN908938</t>
  </si>
  <si>
    <t>CT-Appl-2026-102</t>
  </si>
  <si>
    <t>Serv-AME-0103</t>
  </si>
  <si>
    <t>SN464838</t>
  </si>
  <si>
    <t>CT-Appl-2026-103</t>
  </si>
  <si>
    <t>Lapt-APA-0104</t>
  </si>
  <si>
    <t>SN141375</t>
  </si>
  <si>
    <t>CT-Sams-2026-104</t>
  </si>
  <si>
    <t>Netw-LAT-0105</t>
  </si>
  <si>
    <t>SN770890</t>
  </si>
  <si>
    <t>CT-Dell-2026-105</t>
  </si>
  <si>
    <t>Serv-APA-0106</t>
  </si>
  <si>
    <t>SN483767</t>
  </si>
  <si>
    <t>Desk-LAT-0107</t>
  </si>
  <si>
    <t>SN279088</t>
  </si>
  <si>
    <t>CT-Dell-2026-107</t>
  </si>
  <si>
    <t>Netw-LAT-0108</t>
  </si>
  <si>
    <t>SN140285</t>
  </si>
  <si>
    <t>Netw-LAT-0109</t>
  </si>
  <si>
    <t>SN814664</t>
  </si>
  <si>
    <t>CT-Leno-2026-109</t>
  </si>
  <si>
    <t>Prin-APA-0110</t>
  </si>
  <si>
    <t>SN767308</t>
  </si>
  <si>
    <t>Lapt-EME-0111</t>
  </si>
  <si>
    <t>SN926302</t>
  </si>
  <si>
    <t>CT-Appl-2026-111</t>
  </si>
  <si>
    <t>Netw-LAT-0112</t>
  </si>
  <si>
    <t>SN673134</t>
  </si>
  <si>
    <t>CT-Fuji-2026-112</t>
  </si>
  <si>
    <t>Prin-LAT-0113</t>
  </si>
  <si>
    <t>SN552640</t>
  </si>
  <si>
    <t>Netw-LAT-0114</t>
  </si>
  <si>
    <t>SN521588</t>
  </si>
  <si>
    <t>CT-Leno-2026-114</t>
  </si>
  <si>
    <t>Netw-APA-0115</t>
  </si>
  <si>
    <t>SN302053</t>
  </si>
  <si>
    <t>CT-HP I-2026-115</t>
  </si>
  <si>
    <t>SN820795</t>
  </si>
  <si>
    <t>CT-Leno-2026-116</t>
  </si>
  <si>
    <t>Lapt-APA-0117</t>
  </si>
  <si>
    <t>SN501970</t>
  </si>
  <si>
    <t>Lapt-APA-0118</t>
  </si>
  <si>
    <t>SN728355</t>
  </si>
  <si>
    <t>Lapt-LAT-0119</t>
  </si>
  <si>
    <t>SN423976</t>
  </si>
  <si>
    <t>Prin-AME-0120</t>
  </si>
  <si>
    <t>SN954177</t>
  </si>
  <si>
    <t>CT-HP I-2026-120</t>
  </si>
  <si>
    <t>Prin-APA-0121</t>
  </si>
  <si>
    <t>SN340937</t>
  </si>
  <si>
    <t>CT-Fuji-2026-121</t>
  </si>
  <si>
    <t>Netw-APA-0122</t>
  </si>
  <si>
    <t>SN792212</t>
  </si>
  <si>
    <t>CT-HP I-2026-122</t>
  </si>
  <si>
    <t>Mobi-AME-0123</t>
  </si>
  <si>
    <t>SN322409</t>
  </si>
  <si>
    <t>CT-HP I-2026-123</t>
  </si>
  <si>
    <t>SN562355</t>
  </si>
  <si>
    <t>CT-Appl-2026-124</t>
  </si>
  <si>
    <t>Desk-EME-0125</t>
  </si>
  <si>
    <t>SN924581</t>
  </si>
  <si>
    <t>CT-Leno-2026-125</t>
  </si>
  <si>
    <t>Mobi-AME-0126</t>
  </si>
  <si>
    <t>SN993738</t>
  </si>
  <si>
    <t>CT-Sams-2026-126</t>
  </si>
  <si>
    <t>Mobi-LAT-0127</t>
  </si>
  <si>
    <t>SN181004</t>
  </si>
  <si>
    <t>CT-HP I-2026-127</t>
  </si>
  <si>
    <t>Mobi-LAT-0128</t>
  </si>
  <si>
    <t>SN330694</t>
  </si>
  <si>
    <t>Netw-APA-0129</t>
  </si>
  <si>
    <t>SN550330</t>
  </si>
  <si>
    <t>Desk-APA-0130</t>
  </si>
  <si>
    <t>SN192614</t>
  </si>
  <si>
    <t>CT-Dell-2026-130</t>
  </si>
  <si>
    <t>Serv-AME-0131</t>
  </si>
  <si>
    <t>SN727362</t>
  </si>
  <si>
    <t>CT-Appl-2026-131</t>
  </si>
  <si>
    <t>Desk-AME-0132</t>
  </si>
  <si>
    <t>SN468970</t>
  </si>
  <si>
    <t>CT-Fuji-2026-132</t>
  </si>
  <si>
    <t>Prin-LAT-0133</t>
  </si>
  <si>
    <t>SN473613</t>
  </si>
  <si>
    <t>CT-Fuji-2026-133</t>
  </si>
  <si>
    <t>SN780743</t>
  </si>
  <si>
    <t>CT-Cisc-2026-134</t>
  </si>
  <si>
    <t>SN873653</t>
  </si>
  <si>
    <t>CT-Sams-2026-135</t>
  </si>
  <si>
    <t>Serv-AME-0136</t>
  </si>
  <si>
    <t>SN289501</t>
  </si>
  <si>
    <t>Desk-APA-0137</t>
  </si>
  <si>
    <t>SN673495</t>
  </si>
  <si>
    <t>Desk-APA-0138</t>
  </si>
  <si>
    <t>SN885387</t>
  </si>
  <si>
    <t>CT-Sams-2026-138</t>
  </si>
  <si>
    <t>Desk-EME-0139</t>
  </si>
  <si>
    <t>SN607245</t>
  </si>
  <si>
    <t>CT-Dell-2026-139</t>
  </si>
  <si>
    <t>Netw-LAT-0140</t>
  </si>
  <si>
    <t>SN1035268</t>
  </si>
  <si>
    <t>CT-Appl-2026-140</t>
  </si>
  <si>
    <t>Netw-AME-0141</t>
  </si>
  <si>
    <t>SN868300</t>
  </si>
  <si>
    <t>Mobi-AME-0142</t>
  </si>
  <si>
    <t>SN822280</t>
  </si>
  <si>
    <t>CT-Leno-2026-142</t>
  </si>
  <si>
    <t>Prin-AME-0143</t>
  </si>
  <si>
    <t>SN131322</t>
  </si>
  <si>
    <t>CT-Dell-2026-143</t>
  </si>
  <si>
    <t>Serv-EME-0144</t>
  </si>
  <si>
    <t>SN958040</t>
  </si>
  <si>
    <t>CT-Dell-2026-144</t>
  </si>
  <si>
    <t>Desk-APA-0145</t>
  </si>
  <si>
    <t>SN781234</t>
  </si>
  <si>
    <t>CT-Fuji-2026-145</t>
  </si>
  <si>
    <t>SN798758</t>
  </si>
  <si>
    <t>CT-Leno-2026-146</t>
  </si>
  <si>
    <t>Mobi-AME-0147</t>
  </si>
  <si>
    <t>SN255515</t>
  </si>
  <si>
    <t>CT-Cisc-2026-147</t>
  </si>
  <si>
    <t>Lapt-EME-0148</t>
  </si>
  <si>
    <t>SN646503</t>
  </si>
  <si>
    <t>CT-Leno-2026-148</t>
  </si>
  <si>
    <t>Netw-LAT-0149</t>
  </si>
  <si>
    <t>SN656009</t>
  </si>
  <si>
    <t>CT-Fuji-2026-149</t>
  </si>
  <si>
    <t>SN866884</t>
  </si>
  <si>
    <t>Mobi-AME-0151</t>
  </si>
  <si>
    <t>SN1036527</t>
  </si>
  <si>
    <t>Lapt-AME-0152</t>
  </si>
  <si>
    <t>SN604379</t>
  </si>
  <si>
    <t>CT-Fuji-2026-152</t>
  </si>
  <si>
    <t>Lapt-LAT-0153</t>
  </si>
  <si>
    <t>SN1022472</t>
  </si>
  <si>
    <t>CT-Sams-2026-153</t>
  </si>
  <si>
    <t>Mobi-APA-0154</t>
  </si>
  <si>
    <t>SN126573</t>
  </si>
  <si>
    <t>CT-HP I-2026-154</t>
  </si>
  <si>
    <t>Serv-APA-0155</t>
  </si>
  <si>
    <t>SN668754</t>
  </si>
  <si>
    <t>Prin-AME-0156</t>
  </si>
  <si>
    <t>SN1078554</t>
  </si>
  <si>
    <t>CT-Cisc-2026-156</t>
  </si>
  <si>
    <t>Netw-EME-0157</t>
  </si>
  <si>
    <t>SN712227</t>
  </si>
  <si>
    <t>CT-Cisc-2026-157</t>
  </si>
  <si>
    <t>Serv-APA-0158</t>
  </si>
  <si>
    <t>SN178716</t>
  </si>
  <si>
    <t>CT-Cisc-2026-158</t>
  </si>
  <si>
    <t>Prin-LAT-0159</t>
  </si>
  <si>
    <t>SN624914</t>
  </si>
  <si>
    <t>CT-Sams-2026-159</t>
  </si>
  <si>
    <t>Netw-EME-0160</t>
  </si>
  <si>
    <t>SN137207</t>
  </si>
  <si>
    <t>CT-HP I-2026-160</t>
  </si>
  <si>
    <t>Mobi-AME-0161</t>
  </si>
  <si>
    <t>SN124261</t>
  </si>
  <si>
    <t>CT-HP I-2026-161</t>
  </si>
  <si>
    <t>Lapt-LAT-0162</t>
  </si>
  <si>
    <t>SN828304</t>
  </si>
  <si>
    <t>CT-Cisc-2026-162</t>
  </si>
  <si>
    <t>SN1046669</t>
  </si>
  <si>
    <t>Mobi-AME-0164</t>
  </si>
  <si>
    <t>SN997925</t>
  </si>
  <si>
    <t>CT-Sams-2026-164</t>
  </si>
  <si>
    <t>Mobi-LAT-0165</t>
  </si>
  <si>
    <t>SN740567</t>
  </si>
  <si>
    <t>CT-Dell-2026-165</t>
  </si>
  <si>
    <t>Netw-LAT-0166</t>
  </si>
  <si>
    <t>SN1037558</t>
  </si>
  <si>
    <t>CT-HP I-2026-166</t>
  </si>
  <si>
    <t>Lapt-LAT-0167</t>
  </si>
  <si>
    <t>SN385253</t>
  </si>
  <si>
    <t>CT-Leno-2026-167</t>
  </si>
  <si>
    <t>Prin-APA-0168</t>
  </si>
  <si>
    <t>SN605841</t>
  </si>
  <si>
    <t>Mobi-LAT-0169</t>
  </si>
  <si>
    <t>SN891774</t>
  </si>
  <si>
    <t>CT-Leno-2026-169</t>
  </si>
  <si>
    <t>Lapt-AME-0170</t>
  </si>
  <si>
    <t>SN129050</t>
  </si>
  <si>
    <t>Serv-APA-0171</t>
  </si>
  <si>
    <t>SN292092</t>
  </si>
  <si>
    <t>CT-Cisc-2026-171</t>
  </si>
  <si>
    <t>Desk-EME-0172</t>
  </si>
  <si>
    <t>SN461746</t>
  </si>
  <si>
    <t>CT-Appl-2026-172</t>
  </si>
  <si>
    <t>Serv-EME-0173</t>
  </si>
  <si>
    <t>SN772767</t>
  </si>
  <si>
    <t>SN238825</t>
  </si>
  <si>
    <t>CT-HP I-2026-174</t>
  </si>
  <si>
    <t>Mobi-EME-0175</t>
  </si>
  <si>
    <t>SN759436</t>
  </si>
  <si>
    <t>Serv-EME-0176</t>
  </si>
  <si>
    <t>SN700222</t>
  </si>
  <si>
    <t>CT-Leno-2026-176</t>
  </si>
  <si>
    <t>Lapt-APA-0177</t>
  </si>
  <si>
    <t>SN708314</t>
  </si>
  <si>
    <t>CT-Dell-2026-177</t>
  </si>
  <si>
    <t>Serv-AME-0178</t>
  </si>
  <si>
    <t>SN1019531</t>
  </si>
  <si>
    <t>CT-HP I-2026-178</t>
  </si>
  <si>
    <t>Lapt-APA-0179</t>
  </si>
  <si>
    <t>SN510980</t>
  </si>
  <si>
    <t>Lapt-LAT-0180</t>
  </si>
  <si>
    <t>SN417768</t>
  </si>
  <si>
    <t>CT-Dell-2026-180</t>
  </si>
  <si>
    <t>Mobi-APA-0181</t>
  </si>
  <si>
    <t>SN668691</t>
  </si>
  <si>
    <t>CT-Dell-2026-181</t>
  </si>
  <si>
    <t>Netw-LAT-0182</t>
  </si>
  <si>
    <t>SN593548</t>
  </si>
  <si>
    <t>Netw-LAT-0183</t>
  </si>
  <si>
    <t>SN642486</t>
  </si>
  <si>
    <t>SN250919</t>
  </si>
  <si>
    <t>CT-Fuji-2026-184</t>
  </si>
  <si>
    <t>Serv-EME-0185</t>
  </si>
  <si>
    <t>SN1035306</t>
  </si>
  <si>
    <t>Prin-AME-0186</t>
  </si>
  <si>
    <t>SN756099</t>
  </si>
  <si>
    <t>CT-Sams-2026-186</t>
  </si>
  <si>
    <t>Mobi-APA-0187</t>
  </si>
  <si>
    <t>SN512415</t>
  </si>
  <si>
    <t>CT-Appl-2026-187</t>
  </si>
  <si>
    <t>Prin-AME-0188</t>
  </si>
  <si>
    <t>SN204373</t>
  </si>
  <si>
    <t>Lapt-AME-0189</t>
  </si>
  <si>
    <t>SN616327</t>
  </si>
  <si>
    <t>CT-Fuji-2026-189</t>
  </si>
  <si>
    <t>Serv-LAT-0190</t>
  </si>
  <si>
    <t>SN428389</t>
  </si>
  <si>
    <t>CT-Leno-2026-190</t>
  </si>
  <si>
    <t>SN882545</t>
  </si>
  <si>
    <t>CT-Fuji-2026-191</t>
  </si>
  <si>
    <t>Desk-EME-0192</t>
  </si>
  <si>
    <t>SN729120</t>
  </si>
  <si>
    <t>CT-Appl-2026-192</t>
  </si>
  <si>
    <t>Desk-EME-0193</t>
  </si>
  <si>
    <t>SN912302</t>
  </si>
  <si>
    <t>Prin-AME-0194</t>
  </si>
  <si>
    <t>SN360723</t>
  </si>
  <si>
    <t>Desk-APA-0195</t>
  </si>
  <si>
    <t>SN308604</t>
  </si>
  <si>
    <t>CT-Leno-2026-195</t>
  </si>
  <si>
    <t>Desk-AME-0196</t>
  </si>
  <si>
    <t>SN1050562</t>
  </si>
  <si>
    <t>CT-Cisc-2026-196</t>
  </si>
  <si>
    <t>Mobi-LAT-0197</t>
  </si>
  <si>
    <t>SN631789</t>
  </si>
  <si>
    <t>CT-Leno-2026-197</t>
  </si>
  <si>
    <t>Netw-EME-0198</t>
  </si>
  <si>
    <t>SN1085633</t>
  </si>
  <si>
    <t>CT-Cisc-2026-198</t>
  </si>
  <si>
    <t>Desk-AME-0199</t>
  </si>
  <si>
    <t>SN780884</t>
  </si>
  <si>
    <t>Serv-LAT-0200</t>
  </si>
  <si>
    <t>SN746643</t>
  </si>
  <si>
    <t>CT-Fuji-2026-200</t>
  </si>
  <si>
    <t>Desk-LAT-0201</t>
  </si>
  <si>
    <t>SN456977</t>
  </si>
  <si>
    <t>CT-Dell-2026-201</t>
  </si>
  <si>
    <t>Mobi-LAT-0202</t>
  </si>
  <si>
    <t>SN121003</t>
  </si>
  <si>
    <t>CT-Fuji-2026-202</t>
  </si>
  <si>
    <t>Mobi-AME-0203</t>
  </si>
  <si>
    <t>SN614878</t>
  </si>
  <si>
    <t>CT-Appl-2026-203</t>
  </si>
  <si>
    <t>Lapt-AME-0204</t>
  </si>
  <si>
    <t>SN575967</t>
  </si>
  <si>
    <t>CT-Dell-2026-204</t>
  </si>
  <si>
    <t>Lapt-APA-0205</t>
  </si>
  <si>
    <t>SN1059313</t>
  </si>
  <si>
    <t>CT-Sams-2026-205</t>
  </si>
  <si>
    <t>Prin-LAT-0206</t>
  </si>
  <si>
    <t>SN423191</t>
  </si>
  <si>
    <t>CT-Fuji-2026-206</t>
  </si>
  <si>
    <t>Mobi-EME-0207</t>
  </si>
  <si>
    <t>SN591897</t>
  </si>
  <si>
    <t>CT-Dell-2026-207</t>
  </si>
  <si>
    <t>Mobi-APA-0208</t>
  </si>
  <si>
    <t>SN555930</t>
  </si>
  <si>
    <t>CT-Fuji-2026-208</t>
  </si>
  <si>
    <t>Serv-EME-0209</t>
  </si>
  <si>
    <t>SN365131</t>
  </si>
  <si>
    <t>CT-Leno-2026-209</t>
  </si>
  <si>
    <t>Desk-APA-0210</t>
  </si>
  <si>
    <t>SN1090159</t>
  </si>
  <si>
    <t>CT-Fuji-2026-210</t>
  </si>
  <si>
    <t>Mobi-LAT-0211</t>
  </si>
  <si>
    <t>SN349696</t>
  </si>
  <si>
    <t>CT-Fuji-2026-211</t>
  </si>
  <si>
    <t>Mobi-LAT-0212</t>
  </si>
  <si>
    <t>SN290840</t>
  </si>
  <si>
    <t>CT-Fuji-2026-212</t>
  </si>
  <si>
    <t>Netw-LAT-0213</t>
  </si>
  <si>
    <t>SN1071265</t>
  </si>
  <si>
    <t>CT-Fuji-2026-213</t>
  </si>
  <si>
    <t>Lapt-AME-0214</t>
  </si>
  <si>
    <t>SN314596</t>
  </si>
  <si>
    <t>CT-Cisc-2026-214</t>
  </si>
  <si>
    <t>SN1023103</t>
  </si>
  <si>
    <t>Netw-LAT-0216</t>
  </si>
  <si>
    <t>SN550046</t>
  </si>
  <si>
    <t>Prin-APA-0217</t>
  </si>
  <si>
    <t>SN410690</t>
  </si>
  <si>
    <t>CT-Cisc-2026-217</t>
  </si>
  <si>
    <t>Prin-AME-0218</t>
  </si>
  <si>
    <t>SN587041</t>
  </si>
  <si>
    <t>CT-Dell-2026-218</t>
  </si>
  <si>
    <t>Serv-LAT-0219</t>
  </si>
  <si>
    <t>SN134640</t>
  </si>
  <si>
    <t>CT-Fuji-2026-219</t>
  </si>
  <si>
    <t>Desk-EME-0220</t>
  </si>
  <si>
    <t>SN1096060</t>
  </si>
  <si>
    <t>Netw-EME-0221</t>
  </si>
  <si>
    <t>SN168133</t>
  </si>
  <si>
    <t>CT-HP I-2026-221</t>
  </si>
  <si>
    <t>Lapt-AME-0222</t>
  </si>
  <si>
    <t>SN149011</t>
  </si>
  <si>
    <t>SN735147</t>
  </si>
  <si>
    <t>CT-Fuji-2026-223</t>
  </si>
  <si>
    <t>Prin-AME-0224</t>
  </si>
  <si>
    <t>SN762683</t>
  </si>
  <si>
    <t>Mobi-EME-0225</t>
  </si>
  <si>
    <t>SN945705</t>
  </si>
  <si>
    <t>CT-Cisc-2026-225</t>
  </si>
  <si>
    <t>Prin-AME-0226</t>
  </si>
  <si>
    <t>SN696121</t>
  </si>
  <si>
    <t>Serv-AME-0227</t>
  </si>
  <si>
    <t>SN794414</t>
  </si>
  <si>
    <t>CT-HP I-2026-227</t>
  </si>
  <si>
    <t>Desk-LAT-0228</t>
  </si>
  <si>
    <t>SN783131</t>
  </si>
  <si>
    <t>Prin-LAT-0229</t>
  </si>
  <si>
    <t>SN678528</t>
  </si>
  <si>
    <t>CT-Appl-2026-229</t>
  </si>
  <si>
    <t>Netw-EME-0230</t>
  </si>
  <si>
    <t>SN331218</t>
  </si>
  <si>
    <t>Serv-LAT-0231</t>
  </si>
  <si>
    <t>SN841799</t>
  </si>
  <si>
    <t>Serv-EME-0232</t>
  </si>
  <si>
    <t>SN368159</t>
  </si>
  <si>
    <t>CT-Dell-2026-232</t>
  </si>
  <si>
    <t>Lapt-AME-0233</t>
  </si>
  <si>
    <t>SN400354</t>
  </si>
  <si>
    <t>CT-Cisc-2026-233</t>
  </si>
  <si>
    <t>Netw-APA-0234</t>
  </si>
  <si>
    <t>SN767496</t>
  </si>
  <si>
    <t>CT-Cisc-2026-234</t>
  </si>
  <si>
    <t>Mobi-LAT-0235</t>
  </si>
  <si>
    <t>SN856854</t>
  </si>
  <si>
    <t>SN534183</t>
  </si>
  <si>
    <t>CT-HP I-2026-236</t>
  </si>
  <si>
    <t>Prin-AME-0237</t>
  </si>
  <si>
    <t>SN259191</t>
  </si>
  <si>
    <t>Prin-LAT-0238</t>
  </si>
  <si>
    <t>SN781629</t>
  </si>
  <si>
    <t>Lapt-EME-0239</t>
  </si>
  <si>
    <t>SN409953</t>
  </si>
  <si>
    <t>CT-Appl-2026-239</t>
  </si>
  <si>
    <t>Desk-LAT-0240</t>
  </si>
  <si>
    <t>SN181413</t>
  </si>
  <si>
    <t>Serv-AME-0241</t>
  </si>
  <si>
    <t>SN782933</t>
  </si>
  <si>
    <t>Desk-EME-0242</t>
  </si>
  <si>
    <t>SN916889</t>
  </si>
  <si>
    <t>CT-HP I-2026-242</t>
  </si>
  <si>
    <t>Desk-APA-0243</t>
  </si>
  <si>
    <t>SN1052914</t>
  </si>
  <si>
    <t>CT-Leno-2026-243</t>
  </si>
  <si>
    <t>Desk-LAT-0244</t>
  </si>
  <si>
    <t>SN421968</t>
  </si>
  <si>
    <t>CT-Leno-2026-244</t>
  </si>
  <si>
    <t>Desk-APA-0245</t>
  </si>
  <si>
    <t>SN394983</t>
  </si>
  <si>
    <t>CT-HP I-2026-245</t>
  </si>
  <si>
    <t>Mobi-AME-0246</t>
  </si>
  <si>
    <t>SN436279</t>
  </si>
  <si>
    <t>CT-Appl-2026-246</t>
  </si>
  <si>
    <t>Serv-APA-0247</t>
  </si>
  <si>
    <t>SN959628</t>
  </si>
  <si>
    <t>Mobi-LAT-0248</t>
  </si>
  <si>
    <t>SN158012</t>
  </si>
  <si>
    <t>CT-HP I-2026-248</t>
  </si>
  <si>
    <t>Prin-AME-0249</t>
  </si>
  <si>
    <t>SN179873</t>
  </si>
  <si>
    <t>Serv-EME-0250</t>
  </si>
  <si>
    <t>SN525649</t>
  </si>
  <si>
    <t>CT-Dell-2026-250</t>
  </si>
  <si>
    <t>Desk-EME-0251</t>
  </si>
  <si>
    <t>SN816678</t>
  </si>
  <si>
    <t>Lapt-AME-0252</t>
  </si>
  <si>
    <t>SN909866</t>
  </si>
  <si>
    <t>CT-Cisc-2026-252</t>
  </si>
  <si>
    <t>Netw-APA-0253</t>
  </si>
  <si>
    <t>SN898893</t>
  </si>
  <si>
    <t>CT-HP I-2026-253</t>
  </si>
  <si>
    <t>SN746828</t>
  </si>
  <si>
    <t>CT-HP I-2026-254</t>
  </si>
  <si>
    <t>Lapt-AME-0255</t>
  </si>
  <si>
    <t>SN963970</t>
  </si>
  <si>
    <t>Serv-APA-0256</t>
  </si>
  <si>
    <t>SN894147</t>
  </si>
  <si>
    <t>CT-HP I-2026-256</t>
  </si>
  <si>
    <t>Lapt-APA-0257</t>
  </si>
  <si>
    <t>SN255721</t>
  </si>
  <si>
    <t>SN740747</t>
  </si>
  <si>
    <t>Lapt-APA-0259</t>
  </si>
  <si>
    <t>SN785353</t>
  </si>
  <si>
    <t>Prin-EME-0260</t>
  </si>
  <si>
    <t>SN351882</t>
  </si>
  <si>
    <t>CT-Leno-2026-260</t>
  </si>
  <si>
    <t>Lapt-AME-0261</t>
  </si>
  <si>
    <t>SN412036</t>
  </si>
  <si>
    <t>CT-Sams-2026-261</t>
  </si>
  <si>
    <t>Netw-LAT-0262</t>
  </si>
  <si>
    <t>SN180562</t>
  </si>
  <si>
    <t>Lapt-LAT-0263</t>
  </si>
  <si>
    <t>SN349248</t>
  </si>
  <si>
    <t>CT-Dell-2026-263</t>
  </si>
  <si>
    <t>SN126637</t>
  </si>
  <si>
    <t>CT-Leno-2026-264</t>
  </si>
  <si>
    <t>SN753154</t>
  </si>
  <si>
    <t>CT-Sams-2026-265</t>
  </si>
  <si>
    <t>SN974781</t>
  </si>
  <si>
    <t>CT-HP I-2026-266</t>
  </si>
  <si>
    <t>Desk-APA-0267</t>
  </si>
  <si>
    <t>SN299270</t>
  </si>
  <si>
    <t>CT-Leno-2026-267</t>
  </si>
  <si>
    <t>Desk-AME-0268</t>
  </si>
  <si>
    <t>SN492643</t>
  </si>
  <si>
    <t>CT-Cisc-2026-268</t>
  </si>
  <si>
    <t>Desk-LAT-0269</t>
  </si>
  <si>
    <t>SN903647</t>
  </si>
  <si>
    <t>Serv-LAT-0270</t>
  </si>
  <si>
    <t>SN720390</t>
  </si>
  <si>
    <t>CT-Sams-2026-270</t>
  </si>
  <si>
    <t>SN994854</t>
  </si>
  <si>
    <t>CT-Cisc-2026-271</t>
  </si>
  <si>
    <t>Prin-AME-0272</t>
  </si>
  <si>
    <t>SN232921</t>
  </si>
  <si>
    <t>CT-Leno-2026-272</t>
  </si>
  <si>
    <t>Serv-APA-0273</t>
  </si>
  <si>
    <t>SN992972</t>
  </si>
  <si>
    <t>Lapt-APA-0274</t>
  </si>
  <si>
    <t>SN405974</t>
  </si>
  <si>
    <t>CT-Leno-2026-274</t>
  </si>
  <si>
    <t>Netw-LAT-0275</t>
  </si>
  <si>
    <t>SN901885</t>
  </si>
  <si>
    <t>CT-Dell-2026-275</t>
  </si>
  <si>
    <t>Desk-LAT-0276</t>
  </si>
  <si>
    <t>SN967403</t>
  </si>
  <si>
    <t>Desk-AME-0277</t>
  </si>
  <si>
    <t>SN171093</t>
  </si>
  <si>
    <t>CT-Appl-2026-277</t>
  </si>
  <si>
    <t>Mobi-AME-0278</t>
  </si>
  <si>
    <t>SN364847</t>
  </si>
  <si>
    <t>CT-Fuji-2026-278</t>
  </si>
  <si>
    <t>Prin-LAT-0279</t>
  </si>
  <si>
    <t>SN233312</t>
  </si>
  <si>
    <t>CT-Appl-2026-279</t>
  </si>
  <si>
    <t>Desk-AME-0280</t>
  </si>
  <si>
    <t>SN731065</t>
  </si>
  <si>
    <t>CT-Appl-2026-280</t>
  </si>
  <si>
    <t>Desk-AME-0281</t>
  </si>
  <si>
    <t>SN374104</t>
  </si>
  <si>
    <t>CT-HP I-2026-281</t>
  </si>
  <si>
    <t>Serv-APA-0282</t>
  </si>
  <si>
    <t>SN478173</t>
  </si>
  <si>
    <t>CT-Cisc-2026-282</t>
  </si>
  <si>
    <t>Serv-APA-0283</t>
  </si>
  <si>
    <t>SN839782</t>
  </si>
  <si>
    <t>CT-Dell-2026-283</t>
  </si>
  <si>
    <t>Netw-EME-0284</t>
  </si>
  <si>
    <t>SN802042</t>
  </si>
  <si>
    <t>CT-Cisc-2026-284</t>
  </si>
  <si>
    <t>Lapt-LAT-0285</t>
  </si>
  <si>
    <t>SN339859</t>
  </si>
  <si>
    <t>SN628094</t>
  </si>
  <si>
    <t>CT-Fuji-2026-286</t>
  </si>
  <si>
    <t>Desk-LAT-0287</t>
  </si>
  <si>
    <t>SN350264</t>
  </si>
  <si>
    <t>CT-Dell-2026-287</t>
  </si>
  <si>
    <t>Lapt-AME-0288</t>
  </si>
  <si>
    <t>SN779762</t>
  </si>
  <si>
    <t>SN873596</t>
  </si>
  <si>
    <t>CT-Appl-2026-289</t>
  </si>
  <si>
    <t>Lapt-APA-0290</t>
  </si>
  <si>
    <t>SN400852</t>
  </si>
  <si>
    <t>Lapt-APA-0291</t>
  </si>
  <si>
    <t>SN562668</t>
  </si>
  <si>
    <t>CT-Sams-2026-291</t>
  </si>
  <si>
    <t>Serv-LAT-0292</t>
  </si>
  <si>
    <t>SN913063</t>
  </si>
  <si>
    <t>CT-Sams-2026-292</t>
  </si>
  <si>
    <t>Netw-EME-0293</t>
  </si>
  <si>
    <t>SN363561</t>
  </si>
  <si>
    <t>CT-Leno-2026-293</t>
  </si>
  <si>
    <t>Desk-EME-0294</t>
  </si>
  <si>
    <t>SN1039915</t>
  </si>
  <si>
    <t>CT-Dell-2026-294</t>
  </si>
  <si>
    <t>Desk-APA-0295</t>
  </si>
  <si>
    <t>SN1084478</t>
  </si>
  <si>
    <t>Desk-AME-0296</t>
  </si>
  <si>
    <t>SN678327</t>
  </si>
  <si>
    <t>CT-Leno-2026-296</t>
  </si>
  <si>
    <t>Desk-APA-0297</t>
  </si>
  <si>
    <t>SN546628</t>
  </si>
  <si>
    <t>Prin-AME-0298</t>
  </si>
  <si>
    <t>SN649107</t>
  </si>
  <si>
    <t>Serv-AME-0299</t>
  </si>
  <si>
    <t>SN223374</t>
  </si>
  <si>
    <t>Desk-EME-0300</t>
  </si>
  <si>
    <t>SN607597</t>
  </si>
  <si>
    <t>CT-Sams-2026-300</t>
  </si>
  <si>
    <t>Prin-LAT-0301</t>
  </si>
  <si>
    <t>SN523935</t>
  </si>
  <si>
    <t>CT-Appl-2026-301</t>
  </si>
  <si>
    <t>Prin-AME-0302</t>
  </si>
  <si>
    <t>SN645723</t>
  </si>
  <si>
    <t>Prin-AME-0303</t>
  </si>
  <si>
    <t>SN127853</t>
  </si>
  <si>
    <t>CT-Leno-2026-303</t>
  </si>
  <si>
    <t>Mobi-EME-0304</t>
  </si>
  <si>
    <t>SN366704</t>
  </si>
  <si>
    <t>CT-Dell-2026-304</t>
  </si>
  <si>
    <t>Prin-EME-0305</t>
  </si>
  <si>
    <t>SN1026498</t>
  </si>
  <si>
    <t>CT-Dell-2026-305</t>
  </si>
  <si>
    <t>Desk-EME-0306</t>
  </si>
  <si>
    <t>SN463662</t>
  </si>
  <si>
    <t>CT-Fuji-2026-306</t>
  </si>
  <si>
    <t>Lapt-LAT-0307</t>
  </si>
  <si>
    <t>SN177858</t>
  </si>
  <si>
    <t>Prin-EME-0308</t>
  </si>
  <si>
    <t>SN1083394</t>
  </si>
  <si>
    <t>Netw-AME-0309</t>
  </si>
  <si>
    <t>SN930845</t>
  </si>
  <si>
    <t>CT-Leno-2026-309</t>
  </si>
  <si>
    <t>Lapt-APA-0310</t>
  </si>
  <si>
    <t>SN506550</t>
  </si>
  <si>
    <t>CT-Sams-2026-310</t>
  </si>
  <si>
    <t>SN625404</t>
  </si>
  <si>
    <t>CT-HP I-2026-311</t>
  </si>
  <si>
    <t>Lapt-LAT-0312</t>
  </si>
  <si>
    <t>SN925456</t>
  </si>
  <si>
    <t>CT-Dell-2026-312</t>
  </si>
  <si>
    <t>Netw-EME-0313</t>
  </si>
  <si>
    <t>SN1024633</t>
  </si>
  <si>
    <t>CT-Cisc-2026-313</t>
  </si>
  <si>
    <t>Serv-EME-0314</t>
  </si>
  <si>
    <t>SN350864</t>
  </si>
  <si>
    <t>CT-Sams-2026-314</t>
  </si>
  <si>
    <t>Desk-APA-0315</t>
  </si>
  <si>
    <t>SN485201</t>
  </si>
  <si>
    <t>CT-Fuji-2026-315</t>
  </si>
  <si>
    <t>Lapt-APA-0316</t>
  </si>
  <si>
    <t>SN928837</t>
  </si>
  <si>
    <t>CT-Fuji-2026-316</t>
  </si>
  <si>
    <t>Serv-APA-0317</t>
  </si>
  <si>
    <t>SN1022279</t>
  </si>
  <si>
    <t>CT-Dell-2026-317</t>
  </si>
  <si>
    <t>Serv-AME-0318</t>
  </si>
  <si>
    <t>SN199057</t>
  </si>
  <si>
    <t>CT-Sams-2026-318</t>
  </si>
  <si>
    <t>Lapt-AME-0319</t>
  </si>
  <si>
    <t>SN675277</t>
  </si>
  <si>
    <t>CT-Sams-2026-319</t>
  </si>
  <si>
    <t>Prin-LAT-0320</t>
  </si>
  <si>
    <t>SN1075776</t>
  </si>
  <si>
    <t>CT-HP I-2026-320</t>
  </si>
  <si>
    <t>Mobi-AME-0321</t>
  </si>
  <si>
    <t>SN830584</t>
  </si>
  <si>
    <t>Desk-LAT-0322</t>
  </si>
  <si>
    <t>SN582685</t>
  </si>
  <si>
    <t>CT-Leno-2026-322</t>
  </si>
  <si>
    <t>Desk-EME-0323</t>
  </si>
  <si>
    <t>SN407610</t>
  </si>
  <si>
    <t>CT-Sams-2026-323</t>
  </si>
  <si>
    <t>Prin-AME-0324</t>
  </si>
  <si>
    <t>SN622927</t>
  </si>
  <si>
    <t>CT-Leno-2026-324</t>
  </si>
  <si>
    <t>Mobi-APA-0325</t>
  </si>
  <si>
    <t>SN1064352</t>
  </si>
  <si>
    <t>CT-Leno-2026-325</t>
  </si>
  <si>
    <t>Serv-AME-0326</t>
  </si>
  <si>
    <t>SN315530</t>
  </si>
  <si>
    <t>CT-Sams-2026-326</t>
  </si>
  <si>
    <t>Mobi-APA-0327</t>
  </si>
  <si>
    <t>SN828743</t>
  </si>
  <si>
    <t>Mobi-EME-0328</t>
  </si>
  <si>
    <t>SN679481</t>
  </si>
  <si>
    <t>Netw-EME-0329</t>
  </si>
  <si>
    <t>SN812026</t>
  </si>
  <si>
    <t>Prin-APA-0330</t>
  </si>
  <si>
    <t>SN696724</t>
  </si>
  <si>
    <t>Lapt-AME-0331</t>
  </si>
  <si>
    <t>SN910418</t>
  </si>
  <si>
    <t>CT-HP I-2026-331</t>
  </si>
  <si>
    <t>SN1035294</t>
  </si>
  <si>
    <t>CT-Dell-2026-332</t>
  </si>
  <si>
    <t>Lapt-AME-0333</t>
  </si>
  <si>
    <t>SN651302</t>
  </si>
  <si>
    <t>CT-Leno-2026-333</t>
  </si>
  <si>
    <t>Serv-EME-0334</t>
  </si>
  <si>
    <t>SN963878</t>
  </si>
  <si>
    <t>CT-HP I-2026-334</t>
  </si>
  <si>
    <t>Serv-APA-0335</t>
  </si>
  <si>
    <t>SN590195</t>
  </si>
  <si>
    <t>CT-Leno-2026-335</t>
  </si>
  <si>
    <t>Lapt-APA-0336</t>
  </si>
  <si>
    <t>SN239013</t>
  </si>
  <si>
    <t>CT-HP I-2026-336</t>
  </si>
  <si>
    <t>Serv-LAT-0337</t>
  </si>
  <si>
    <t>SN914760</t>
  </si>
  <si>
    <t>CT-Dell-2026-337</t>
  </si>
  <si>
    <t>Netw-EME-0338</t>
  </si>
  <si>
    <t>SN996203</t>
  </si>
  <si>
    <t>CT-HP I-2026-338</t>
  </si>
  <si>
    <t>Netw-LAT-0339</t>
  </si>
  <si>
    <t>SN162082</t>
  </si>
  <si>
    <t>CT-Cisc-2026-339</t>
  </si>
  <si>
    <t>Netw-AME-0340</t>
  </si>
  <si>
    <t>SN926193</t>
  </si>
  <si>
    <t>CT-Fuji-2026-340</t>
  </si>
  <si>
    <t>Serv-LAT-0341</t>
  </si>
  <si>
    <t>SN205490</t>
  </si>
  <si>
    <t>Netw-AME-0342</t>
  </si>
  <si>
    <t>SN267637</t>
  </si>
  <si>
    <t>CT-Fuji-2026-342</t>
  </si>
  <si>
    <t>Netw-APA-0343</t>
  </si>
  <si>
    <t>SN917153</t>
  </si>
  <si>
    <t>CT-Appl-2026-343</t>
  </si>
  <si>
    <t>Mobi-EME-0344</t>
  </si>
  <si>
    <t>SN397435</t>
  </si>
  <si>
    <t>Desk-APA-0345</t>
  </si>
  <si>
    <t>SN162712</t>
  </si>
  <si>
    <t>Serv-LAT-0346</t>
  </si>
  <si>
    <t>SN1049969</t>
  </si>
  <si>
    <t>Mobi-LAT-0347</t>
  </si>
  <si>
    <t>SN1034183</t>
  </si>
  <si>
    <t>CT-Cisc-2026-347</t>
  </si>
  <si>
    <t>Prin-APA-0348</t>
  </si>
  <si>
    <t>SN446501</t>
  </si>
  <si>
    <t>CT-HP I-2026-348</t>
  </si>
  <si>
    <t>Desk-APA-0349</t>
  </si>
  <si>
    <t>SN477406</t>
  </si>
  <si>
    <t>CT-Dell-2026-349</t>
  </si>
  <si>
    <t>Netw-APA-0350</t>
  </si>
  <si>
    <t>SN865967</t>
  </si>
  <si>
    <t>CT-Leno-2026-350</t>
  </si>
  <si>
    <t>Mobi-APA-0351</t>
  </si>
  <si>
    <t>SN720262</t>
  </si>
  <si>
    <t>Prin-LAT-0352</t>
  </si>
  <si>
    <t>SN438442</t>
  </si>
  <si>
    <t>CT-Sams-2026-352</t>
  </si>
  <si>
    <t>Lapt-AME-0353</t>
  </si>
  <si>
    <t>SN157933</t>
  </si>
  <si>
    <t>CT-HP I-2026-353</t>
  </si>
  <si>
    <t>Lapt-EME-0354</t>
  </si>
  <si>
    <t>SN192497</t>
  </si>
  <si>
    <t>CT-Dell-2026-354</t>
  </si>
  <si>
    <t>Netw-AME-0355</t>
  </si>
  <si>
    <t>SN601429</t>
  </si>
  <si>
    <t>CT-Leno-2026-355</t>
  </si>
  <si>
    <t>Desk-AME-0356</t>
  </si>
  <si>
    <t>SN637723</t>
  </si>
  <si>
    <t>CT-Leno-2026-356</t>
  </si>
  <si>
    <t>Netw-AME-0357</t>
  </si>
  <si>
    <t>SN1045662</t>
  </si>
  <si>
    <t>Netw-AME-0358</t>
  </si>
  <si>
    <t>SN413653</t>
  </si>
  <si>
    <t>CT-Cisc-2026-358</t>
  </si>
  <si>
    <t>Netw-AME-0359</t>
  </si>
  <si>
    <t>SN363291</t>
  </si>
  <si>
    <t>Prin-LAT-0360</t>
  </si>
  <si>
    <t>SN786348</t>
  </si>
  <si>
    <t>CT-Dell-2026-360</t>
  </si>
  <si>
    <t>Netw-LAT-0361</t>
  </si>
  <si>
    <t>SN580598</t>
  </si>
  <si>
    <t>CT-Appl-2026-361</t>
  </si>
  <si>
    <t>Lapt-LAT-0362</t>
  </si>
  <si>
    <t>SN1023882</t>
  </si>
  <si>
    <t>CT-Sams-2026-362</t>
  </si>
  <si>
    <t>Serv-APA-0363</t>
  </si>
  <si>
    <t>SN641652</t>
  </si>
  <si>
    <t>CT-Appl-2026-363</t>
  </si>
  <si>
    <t>Desk-APA-0364</t>
  </si>
  <si>
    <t>SN931987</t>
  </si>
  <si>
    <t>CT-Sams-2026-364</t>
  </si>
  <si>
    <t>Desk-APA-0365</t>
  </si>
  <si>
    <t>SN816998</t>
  </si>
  <si>
    <t>Netw-EME-0366</t>
  </si>
  <si>
    <t>SN1081105</t>
  </si>
  <si>
    <t>CT-Sams-2026-366</t>
  </si>
  <si>
    <t>Desk-AME-0367</t>
  </si>
  <si>
    <t>SN163135</t>
  </si>
  <si>
    <t>CT-Appl-2026-367</t>
  </si>
  <si>
    <t>Prin-EME-0368</t>
  </si>
  <si>
    <t>SN506096</t>
  </si>
  <si>
    <t>CT-Appl-2026-368</t>
  </si>
  <si>
    <t>Desk-LAT-0369</t>
  </si>
  <si>
    <t>SN689008</t>
  </si>
  <si>
    <t>CT-Sams-2026-369</t>
  </si>
  <si>
    <t>Serv-EME-0370</t>
  </si>
  <si>
    <t>SN909848</t>
  </si>
  <si>
    <t>CT-Cisc-2026-370</t>
  </si>
  <si>
    <t>Lapt-APA-0371</t>
  </si>
  <si>
    <t>SN135809</t>
  </si>
  <si>
    <t>Desk-EME-0372</t>
  </si>
  <si>
    <t>SN652048</t>
  </si>
  <si>
    <t>Netw-AME-0373</t>
  </si>
  <si>
    <t>SN526277</t>
  </si>
  <si>
    <t>Desk-APA-0374</t>
  </si>
  <si>
    <t>SN1054359</t>
  </si>
  <si>
    <t>CT-Appl-2026-374</t>
  </si>
  <si>
    <t>SN889812</t>
  </si>
  <si>
    <t>CT-Cisc-2026-375</t>
  </si>
  <si>
    <t>Desk-APA-0376</t>
  </si>
  <si>
    <t>SN803252</t>
  </si>
  <si>
    <t>CT-HP I-2026-376</t>
  </si>
  <si>
    <t>Mobi-AME-0377</t>
  </si>
  <si>
    <t>SN819589</t>
  </si>
  <si>
    <t>CT-Leno-2026-377</t>
  </si>
  <si>
    <t>Desk-APA-0378</t>
  </si>
  <si>
    <t>SN481742</t>
  </si>
  <si>
    <t>CT-Fuji-2026-378</t>
  </si>
  <si>
    <t>Prin-EME-0379</t>
  </si>
  <si>
    <t>SN767980</t>
  </si>
  <si>
    <t>CT-Leno-2026-379</t>
  </si>
  <si>
    <t>Prin-LAT-0380</t>
  </si>
  <si>
    <t>SN511284</t>
  </si>
  <si>
    <t>CT-Fuji-2026-380</t>
  </si>
  <si>
    <t>Desk-LAT-0381</t>
  </si>
  <si>
    <t>SN236487</t>
  </si>
  <si>
    <t>SN1035074</t>
  </si>
  <si>
    <t>Prin-AME-0383</t>
  </si>
  <si>
    <t>SN266468</t>
  </si>
  <si>
    <t>CT-Dell-2026-383</t>
  </si>
  <si>
    <t>Mobi-AME-0384</t>
  </si>
  <si>
    <t>SN524007</t>
  </si>
  <si>
    <t>CT-Appl-2026-384</t>
  </si>
  <si>
    <t>Serv-LAT-0385</t>
  </si>
  <si>
    <t>SN886892</t>
  </si>
  <si>
    <t>Prin-APA-0386</t>
  </si>
  <si>
    <t>SN136538</t>
  </si>
  <si>
    <t>CT-Dell-2026-386</t>
  </si>
  <si>
    <t>Desk-AME-0387</t>
  </si>
  <si>
    <t>SN425375</t>
  </si>
  <si>
    <t>CT-Cisc-2026-387</t>
  </si>
  <si>
    <t>Desk-LAT-0388</t>
  </si>
  <si>
    <t>SN113700</t>
  </si>
  <si>
    <t>CT-Leno-2026-388</t>
  </si>
  <si>
    <t>Lapt-APA-0389</t>
  </si>
  <si>
    <t>SN838740</t>
  </si>
  <si>
    <t>CT-Dell-2026-389</t>
  </si>
  <si>
    <t>SN740536</t>
  </si>
  <si>
    <t>CT-Sams-2026-390</t>
  </si>
  <si>
    <t>Netw-AME-0391</t>
  </si>
  <si>
    <t>SN469372</t>
  </si>
  <si>
    <t>CT-HP I-2026-391</t>
  </si>
  <si>
    <t>Serv-LAT-0392</t>
  </si>
  <si>
    <t>SN655178</t>
  </si>
  <si>
    <t>CT-Dell-2026-392</t>
  </si>
  <si>
    <t>Netw-APA-0393</t>
  </si>
  <si>
    <t>SN883593</t>
  </si>
  <si>
    <t>CT-Fuji-2026-393</t>
  </si>
  <si>
    <t>Mobi-APA-0394</t>
  </si>
  <si>
    <t>SN536831</t>
  </si>
  <si>
    <t>Netw-AME-0395</t>
  </si>
  <si>
    <t>SN698325</t>
  </si>
  <si>
    <t>CT-Cisc-2026-395</t>
  </si>
  <si>
    <t>Lapt-APA-0396</t>
  </si>
  <si>
    <t>SN453924</t>
  </si>
  <si>
    <t>CT-Dell-2026-396</t>
  </si>
  <si>
    <t>Desk-EME-0397</t>
  </si>
  <si>
    <t>SN552276</t>
  </si>
  <si>
    <t>CT-Fuji-2026-397</t>
  </si>
  <si>
    <t>Lapt-EME-0398</t>
  </si>
  <si>
    <t>SN403656</t>
  </si>
  <si>
    <t>CT-Sams-2026-398</t>
  </si>
  <si>
    <t>Prin-AME-0399</t>
  </si>
  <si>
    <t>SN627919</t>
  </si>
  <si>
    <t>CT-Leno-2026-399</t>
  </si>
  <si>
    <t>Lapt-LAT-0400</t>
  </si>
  <si>
    <t>SN824206</t>
  </si>
  <si>
    <t>CT-Leno-2026-400</t>
  </si>
  <si>
    <t>Serv-APA-0401</t>
  </si>
  <si>
    <t>SN380493</t>
  </si>
  <si>
    <t>Serv-LAT-0402</t>
  </si>
  <si>
    <t>SN110847</t>
  </si>
  <si>
    <t>Mobi-APA-0403</t>
  </si>
  <si>
    <t>SN380286</t>
  </si>
  <si>
    <t>CT-Appl-2026-403</t>
  </si>
  <si>
    <t>Serv-EME-0404</t>
  </si>
  <si>
    <t>SN417210</t>
  </si>
  <si>
    <t>CT-Dell-2026-404</t>
  </si>
  <si>
    <t>Mobi-AME-0405</t>
  </si>
  <si>
    <t>SN424457</t>
  </si>
  <si>
    <t>Prin-AME-0406</t>
  </si>
  <si>
    <t>SN272967</t>
  </si>
  <si>
    <t>CT-Fuji-2026-406</t>
  </si>
  <si>
    <t>Prin-AME-0407</t>
  </si>
  <si>
    <t>SN324628</t>
  </si>
  <si>
    <t>SN799157</t>
  </si>
  <si>
    <t>CT-Appl-2026-408</t>
  </si>
  <si>
    <t>Desk-EME-0409</t>
  </si>
  <si>
    <t>SN1026515</t>
  </si>
  <si>
    <t>CT-Fuji-2026-409</t>
  </si>
  <si>
    <t>Lapt-LAT-0410</t>
  </si>
  <si>
    <t>SN552430</t>
  </si>
  <si>
    <t>CT-Appl-2026-410</t>
  </si>
  <si>
    <t>Serv-LAT-0411</t>
  </si>
  <si>
    <t>SN967841</t>
  </si>
  <si>
    <t>Desk-AME-0412</t>
  </si>
  <si>
    <t>SN279437</t>
  </si>
  <si>
    <t>CT-Sams-2026-412</t>
  </si>
  <si>
    <t>Serv-EME-0413</t>
  </si>
  <si>
    <t>SN830772</t>
  </si>
  <si>
    <t>CT-Fuji-2026-413</t>
  </si>
  <si>
    <t>Mobi-AME-0414</t>
  </si>
  <si>
    <t>SN112630</t>
  </si>
  <si>
    <t>CT-Sams-2026-414</t>
  </si>
  <si>
    <t>Mobi-AME-0415</t>
  </si>
  <si>
    <t>SN1095144</t>
  </si>
  <si>
    <t>CT-Dell-2026-415</t>
  </si>
  <si>
    <t>Desk-AME-0416</t>
  </si>
  <si>
    <t>SN988723</t>
  </si>
  <si>
    <t>CT-Leno-2026-416</t>
  </si>
  <si>
    <t>Serv-APA-0417</t>
  </si>
  <si>
    <t>SN1048714</t>
  </si>
  <si>
    <t>CT-Appl-2026-417</t>
  </si>
  <si>
    <t>Netw-LAT-0418</t>
  </si>
  <si>
    <t>SN321056</t>
  </si>
  <si>
    <t>CT-HP I-2026-418</t>
  </si>
  <si>
    <t>SN160698</t>
  </si>
  <si>
    <t>CT-Leno-2026-419</t>
  </si>
  <si>
    <t>Desk-APA-0420</t>
  </si>
  <si>
    <t>SN207109</t>
  </si>
  <si>
    <t>CT-Cisc-2026-420</t>
  </si>
  <si>
    <t>Netw-APA-0421</t>
  </si>
  <si>
    <t>SN974835</t>
  </si>
  <si>
    <t>CT-Dell-2026-421</t>
  </si>
  <si>
    <t>SN702430</t>
  </si>
  <si>
    <t>CT-Dell-2026-422</t>
  </si>
  <si>
    <t>Desk-AME-0423</t>
  </si>
  <si>
    <t>SN928236</t>
  </si>
  <si>
    <t>Serv-EME-0424</t>
  </si>
  <si>
    <t>SN942220</t>
  </si>
  <si>
    <t>CT-Leno-2026-424</t>
  </si>
  <si>
    <t>Prin-LAT-0425</t>
  </si>
  <si>
    <t>SN752263</t>
  </si>
  <si>
    <t>CT-Dell-2026-425</t>
  </si>
  <si>
    <t>Prin-EME-0426</t>
  </si>
  <si>
    <t>SN141821</t>
  </si>
  <si>
    <t>CT-Appl-2026-426</t>
  </si>
  <si>
    <t>Serv-EME-0427</t>
  </si>
  <si>
    <t>SN361687</t>
  </si>
  <si>
    <t>CT-Dell-2026-427</t>
  </si>
  <si>
    <t>Desk-EME-0428</t>
  </si>
  <si>
    <t>SN757354</t>
  </si>
  <si>
    <t>CT-HP I-2026-428</t>
  </si>
  <si>
    <t>Lapt-EME-0429</t>
  </si>
  <si>
    <t>SN388383</t>
  </si>
  <si>
    <t>CT-Dell-2026-429</t>
  </si>
  <si>
    <t>Desk-AME-0430</t>
  </si>
  <si>
    <t>SN337778</t>
  </si>
  <si>
    <t>Prin-APA-0431</t>
  </si>
  <si>
    <t>SN765799</t>
  </si>
  <si>
    <t>Mobi-LAT-0432</t>
  </si>
  <si>
    <t>SN849591</t>
  </si>
  <si>
    <t>CT-Cisc-2026-432</t>
  </si>
  <si>
    <t>Prin-APA-0433</t>
  </si>
  <si>
    <t>SN1020463</t>
  </si>
  <si>
    <t>Serv-AME-0434</t>
  </si>
  <si>
    <t>SN505448</t>
  </si>
  <si>
    <t>CT-HP I-2026-434</t>
  </si>
  <si>
    <t>SN176767</t>
  </si>
  <si>
    <t>CT-HP I-2026-435</t>
  </si>
  <si>
    <t>Mobi-EME-0436</t>
  </si>
  <si>
    <t>SN377928</t>
  </si>
  <si>
    <t>CT-Appl-2026-436</t>
  </si>
  <si>
    <t>Desk-LAT-0437</t>
  </si>
  <si>
    <t>SN431280</t>
  </si>
  <si>
    <t>CT-Sams-2026-437</t>
  </si>
  <si>
    <t>Serv-EME-0438</t>
  </si>
  <si>
    <t>SN329708</t>
  </si>
  <si>
    <t>Lapt-APA-0439</t>
  </si>
  <si>
    <t>SN1002852</t>
  </si>
  <si>
    <t>CT-Leno-2026-439</t>
  </si>
  <si>
    <t>Mobi-AME-0440</t>
  </si>
  <si>
    <t>SN1041400</t>
  </si>
  <si>
    <t>CT-HP I-2026-440</t>
  </si>
  <si>
    <t>Netw-AME-0441</t>
  </si>
  <si>
    <t>SN814741</t>
  </si>
  <si>
    <t>CT-Sams-2026-441</t>
  </si>
  <si>
    <t>Netw-AME-0442</t>
  </si>
  <si>
    <t>SN168285</t>
  </si>
  <si>
    <t>SN915017</t>
  </si>
  <si>
    <t>CT-Appl-2026-443</t>
  </si>
  <si>
    <t>Netw-AME-0444</t>
  </si>
  <si>
    <t>SN907207</t>
  </si>
  <si>
    <t>CT-Fuji-2026-444</t>
  </si>
  <si>
    <t>Prin-EME-0445</t>
  </si>
  <si>
    <t>SN791513</t>
  </si>
  <si>
    <t>CT-Fuji-2026-445</t>
  </si>
  <si>
    <t>Desk-LAT-0446</t>
  </si>
  <si>
    <t>SN504881</t>
  </si>
  <si>
    <t>Netw-LAT-0447</t>
  </si>
  <si>
    <t>SN987541</t>
  </si>
  <si>
    <t>Serv-AME-0448</t>
  </si>
  <si>
    <t>SN488840</t>
  </si>
  <si>
    <t>Mobi-LAT-0449</t>
  </si>
  <si>
    <t>SN674647</t>
  </si>
  <si>
    <t>CT-Cisc-2026-449</t>
  </si>
  <si>
    <t>Desk-APA-0450</t>
  </si>
  <si>
    <t>SN652303</t>
  </si>
  <si>
    <t>CT-Sams-2026-450</t>
  </si>
  <si>
    <t>Lapt-AME-0451</t>
  </si>
  <si>
    <t>SN1088647</t>
  </si>
  <si>
    <t>CT-Fuji-2026-451</t>
  </si>
  <si>
    <t>Prin-LAT-0452</t>
  </si>
  <si>
    <t>SN1074198</t>
  </si>
  <si>
    <t>CT-Sams-2026-452</t>
  </si>
  <si>
    <t>Serv-APA-0453</t>
  </si>
  <si>
    <t>SN985197</t>
  </si>
  <si>
    <t>SN705582</t>
  </si>
  <si>
    <t>CT-Sams-2026-454</t>
  </si>
  <si>
    <t>Desk-AME-0455</t>
  </si>
  <si>
    <t>SN521134</t>
  </si>
  <si>
    <t>CT-HP I-2026-455</t>
  </si>
  <si>
    <t>Mobi-EME-0456</t>
  </si>
  <si>
    <t>SN303726</t>
  </si>
  <si>
    <t>CT-Dell-2026-456</t>
  </si>
  <si>
    <t>Desk-AME-0457</t>
  </si>
  <si>
    <t>SN217857</t>
  </si>
  <si>
    <t>Prin-AME-0458</t>
  </si>
  <si>
    <t>SN745102</t>
  </si>
  <si>
    <t>CT-HP I-2026-458</t>
  </si>
  <si>
    <t>Serv-EME-0459</t>
  </si>
  <si>
    <t>SN912989</t>
  </si>
  <si>
    <t>CT-Cisc-2026-459</t>
  </si>
  <si>
    <t>Mobi-APA-0460</t>
  </si>
  <si>
    <t>SN998528</t>
  </si>
  <si>
    <t>CT-Cisc-2026-460</t>
  </si>
  <si>
    <t>Netw-LAT-0461</t>
  </si>
  <si>
    <t>SN856570</t>
  </si>
  <si>
    <t>CT-HP I-2026-461</t>
  </si>
  <si>
    <t>Desk-APA-0462</t>
  </si>
  <si>
    <t>SN289722</t>
  </si>
  <si>
    <t>CT-HP I-2026-462</t>
  </si>
  <si>
    <t>SN358026</t>
  </si>
  <si>
    <t>CT-Fuji-2026-463</t>
  </si>
  <si>
    <t>Prin-APA-0464</t>
  </si>
  <si>
    <t>SN238501</t>
  </si>
  <si>
    <t>CT-Dell-2026-464</t>
  </si>
  <si>
    <t>Prin-APA-0465</t>
  </si>
  <si>
    <t>SN640170</t>
  </si>
  <si>
    <t>CT-Dell-2026-465</t>
  </si>
  <si>
    <t>Desk-EME-0466</t>
  </si>
  <si>
    <t>SN999903</t>
  </si>
  <si>
    <t>CT-Sams-2026-466</t>
  </si>
  <si>
    <t>Netw-AME-0467</t>
  </si>
  <si>
    <t>SN806498</t>
  </si>
  <si>
    <t>CT-Dell-2026-467</t>
  </si>
  <si>
    <t>Desk-AME-0468</t>
  </si>
  <si>
    <t>SN690452</t>
  </si>
  <si>
    <t>CT-Dell-2026-468</t>
  </si>
  <si>
    <t>Lapt-EME-0469</t>
  </si>
  <si>
    <t>SN1077995</t>
  </si>
  <si>
    <t>CT-HP I-2026-469</t>
  </si>
  <si>
    <t>Desk-APA-0470</t>
  </si>
  <si>
    <t>SN630834</t>
  </si>
  <si>
    <t>CT-Sams-2026-470</t>
  </si>
  <si>
    <t>Lapt-AME-0471</t>
  </si>
  <si>
    <t>SN705735</t>
  </si>
  <si>
    <t>CT-Cisc-2026-471</t>
  </si>
  <si>
    <t>Prin-APA-0472</t>
  </si>
  <si>
    <t>SN186231</t>
  </si>
  <si>
    <t>CT-Dell-2026-472</t>
  </si>
  <si>
    <t>Serv-LAT-0473</t>
  </si>
  <si>
    <t>SN215515</t>
  </si>
  <si>
    <t>CT-HP I-2026-473</t>
  </si>
  <si>
    <t>Desk-APA-0474</t>
  </si>
  <si>
    <t>SN235555</t>
  </si>
  <si>
    <t>CT-Dell-2026-474</t>
  </si>
  <si>
    <t>Mobi-AME-0475</t>
  </si>
  <si>
    <t>SN890758</t>
  </si>
  <si>
    <t>Serv-EME-0476</t>
  </si>
  <si>
    <t>SN550848</t>
  </si>
  <si>
    <t>Serv-LAT-0477</t>
  </si>
  <si>
    <t>SN649960</t>
  </si>
  <si>
    <t>CT-Dell-2026-477</t>
  </si>
  <si>
    <t>Serv-APA-0478</t>
  </si>
  <si>
    <t>SN618080</t>
  </si>
  <si>
    <t>CT-Dell-2026-478</t>
  </si>
  <si>
    <t>Netw-LAT-0479</t>
  </si>
  <si>
    <t>SN724909</t>
  </si>
  <si>
    <t>Desk-APA-0480</t>
  </si>
  <si>
    <t>SN680606</t>
  </si>
  <si>
    <t>CT-Dell-2026-480</t>
  </si>
  <si>
    <t>Mobi-EME-0481</t>
  </si>
  <si>
    <t>SN795941</t>
  </si>
  <si>
    <t>CT-Sams-2026-481</t>
  </si>
  <si>
    <t>Lapt-AME-0482</t>
  </si>
  <si>
    <t>SN1036529</t>
  </si>
  <si>
    <t>Desk-LAT-0483</t>
  </si>
  <si>
    <t>SN490475</t>
  </si>
  <si>
    <t>CT-Appl-2026-483</t>
  </si>
  <si>
    <t>Mobi-AME-0484</t>
  </si>
  <si>
    <t>SN871220</t>
  </si>
  <si>
    <t>Netw-AME-0485</t>
  </si>
  <si>
    <t>SN401078</t>
  </si>
  <si>
    <t>CT-Leno-2026-485</t>
  </si>
  <si>
    <t>Lapt-LAT-0486</t>
  </si>
  <si>
    <t>SN156246</t>
  </si>
  <si>
    <t>Prin-LAT-0487</t>
  </si>
  <si>
    <t>SN1029314</t>
  </si>
  <si>
    <t>CT-Leno-2026-487</t>
  </si>
  <si>
    <t>Prin-EME-0488</t>
  </si>
  <si>
    <t>SN395945</t>
  </si>
  <si>
    <t>CT-Leno-2026-488</t>
  </si>
  <si>
    <t>Serv-AME-0489</t>
  </si>
  <si>
    <t>SN311624</t>
  </si>
  <si>
    <t>CT-Fuji-2026-489</t>
  </si>
  <si>
    <t>Serv-EME-0490</t>
  </si>
  <si>
    <t>SN252924</t>
  </si>
  <si>
    <t>CT-Dell-2026-490</t>
  </si>
  <si>
    <t>Lapt-LAT-0491</t>
  </si>
  <si>
    <t>SN633481</t>
  </si>
  <si>
    <t>CT-HP I-2026-491</t>
  </si>
  <si>
    <t>Lapt-LAT-0492</t>
  </si>
  <si>
    <t>SN333698</t>
  </si>
  <si>
    <t>Desk-LAT-0493</t>
  </si>
  <si>
    <t>SN488088</t>
  </si>
  <si>
    <t>CT-Sams-2026-493</t>
  </si>
  <si>
    <t>Mobi-APA-0494</t>
  </si>
  <si>
    <t>SN665738</t>
  </si>
  <si>
    <t>Mobi-APA-0495</t>
  </si>
  <si>
    <t>SN185848</t>
  </si>
  <si>
    <t>CT-Cisc-2026-495</t>
  </si>
  <si>
    <t>SN647187</t>
  </si>
  <si>
    <t>CT-Fuji-2026-496</t>
  </si>
  <si>
    <t>Mobi-AME-0497</t>
  </si>
  <si>
    <t>SN270864</t>
  </si>
  <si>
    <t>CT-Appl-2026-497</t>
  </si>
  <si>
    <t>Lapt-EME-0498</t>
  </si>
  <si>
    <t>SN500462</t>
  </si>
  <si>
    <t>CT-Cisc-2026-498</t>
  </si>
  <si>
    <t>Desk-EME-0499</t>
  </si>
  <si>
    <t>SN550733</t>
  </si>
  <si>
    <t>CT-Appl-2026-499</t>
  </si>
  <si>
    <t>Lapt-EME-0500</t>
  </si>
  <si>
    <t>SN511034</t>
  </si>
  <si>
    <t>CT-HP I-2026-500</t>
  </si>
  <si>
    <t>Serv-APA-0501</t>
  </si>
  <si>
    <t>SN895852</t>
  </si>
  <si>
    <t>CT-Cisc-2026-501</t>
  </si>
  <si>
    <t>SN582596</t>
  </si>
  <si>
    <t>Desk-APA-0503</t>
  </si>
  <si>
    <t>SN214527</t>
  </si>
  <si>
    <t>Lapt-EME-0504</t>
  </si>
  <si>
    <t>SN889899</t>
  </si>
  <si>
    <t>Lapt-LAT-0505</t>
  </si>
  <si>
    <t>SN260088</t>
  </si>
  <si>
    <t>CT-Leno-2026-505</t>
  </si>
  <si>
    <t>Serv-AME-0506</t>
  </si>
  <si>
    <t>SN660491</t>
  </si>
  <si>
    <t>CT-Appl-2026-506</t>
  </si>
  <si>
    <t>Desk-EME-0507</t>
  </si>
  <si>
    <t>SN176313</t>
  </si>
  <si>
    <t>SN366608</t>
  </si>
  <si>
    <t>CT-Sams-2026-508</t>
  </si>
  <si>
    <t>SN937361</t>
  </si>
  <si>
    <t>SN858477</t>
  </si>
  <si>
    <t>Mobi-AME-0511</t>
  </si>
  <si>
    <t>SN1088496</t>
  </si>
  <si>
    <t>CT-Cisc-2026-511</t>
  </si>
  <si>
    <t>Prin-EME-0512</t>
  </si>
  <si>
    <t>SN220274</t>
  </si>
  <si>
    <t>Prin-APA-0513</t>
  </si>
  <si>
    <t>SN443846</t>
  </si>
  <si>
    <t>CT-Appl-2026-513</t>
  </si>
  <si>
    <t>Mobi-AME-0514</t>
  </si>
  <si>
    <t>SN379984</t>
  </si>
  <si>
    <t>Prin-APA-0515</t>
  </si>
  <si>
    <t>SN647429</t>
  </si>
  <si>
    <t>CT-Cisc-2026-515</t>
  </si>
  <si>
    <t>Netw-AME-0516</t>
  </si>
  <si>
    <t>SN754424</t>
  </si>
  <si>
    <t>CT-Fuji-2026-516</t>
  </si>
  <si>
    <t>Desk-LAT-0517</t>
  </si>
  <si>
    <t>SN753726</t>
  </si>
  <si>
    <t>CT-Cisc-2026-517</t>
  </si>
  <si>
    <t>Mobi-APA-0518</t>
  </si>
  <si>
    <t>SN460668</t>
  </si>
  <si>
    <t>CT-Appl-2026-518</t>
  </si>
  <si>
    <t>Netw-EME-0519</t>
  </si>
  <si>
    <t>SN234029</t>
  </si>
  <si>
    <t>CT-Appl-2026-519</t>
  </si>
  <si>
    <t>Lapt-EME-0520</t>
  </si>
  <si>
    <t>SN875126</t>
  </si>
  <si>
    <t>CT-Leno-2026-520</t>
  </si>
  <si>
    <t>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</si>
</sst>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quot;€&quot;#,##0.00"/>
    <numFmt numFmtId="166" formatCode="0.0%"/>
    <numFmt numFmtId="167" formatCode="&quot;€&quot;#,##0"/>
  </numFmts>
  <fonts count="8"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6"/>
      <color theme="1"/>
      <name val="Aptos Narrow"/>
      <family val="2"/>
      <scheme val="minor"/>
    </font>
    <font>
      <b/>
      <sz val="20"/>
      <color rgb="FFFFFFFF"/>
      <name val="Aptos Narrow"/>
      <family val="2"/>
      <scheme val="minor"/>
    </font>
    <font>
      <b/>
      <sz val="12"/>
      <color theme="1"/>
      <name val="Aptos Narrow"/>
      <family val="2"/>
      <scheme val="minor"/>
    </font>
    <font>
      <b/>
      <sz val="24"/>
      <color theme="1"/>
      <name val="Aptos Narrow"/>
      <family val="2"/>
      <scheme val="minor"/>
    </font>
    <font>
      <b/>
      <sz val="10"/>
      <color rgb="FFC00000"/>
      <name val="Aptos Narrow"/>
      <family val="2"/>
      <scheme val="minor"/>
    </font>
  </fonts>
  <fills count="9">
    <fill>
      <patternFill patternType="none"/>
    </fill>
    <fill>
      <patternFill patternType="gray125"/>
    </fill>
    <fill>
      <patternFill patternType="solid">
        <fgColor rgb="FF1F4E78"/>
        <bgColor indexed="64"/>
      </patternFill>
    </fill>
    <fill>
      <patternFill patternType="solid">
        <fgColor rgb="FFC0504D"/>
        <bgColor indexed="64"/>
      </patternFill>
    </fill>
    <fill>
      <patternFill patternType="solid">
        <fgColor rgb="FF4472C4"/>
        <bgColor indexed="64"/>
      </patternFill>
    </fill>
    <fill>
      <patternFill patternType="solid">
        <fgColor rgb="FFDCE6F1"/>
        <bgColor indexed="64"/>
      </patternFill>
    </fill>
    <fill>
      <patternFill patternType="solid">
        <fgColor rgb="FFC6E0B4"/>
        <bgColor indexed="64"/>
      </patternFill>
    </fill>
    <fill>
      <patternFill patternType="solid">
        <fgColor rgb="FF9BC2E6"/>
        <bgColor indexed="64"/>
      </patternFill>
    </fill>
    <fill>
      <patternFill patternType="solid">
        <fgColor rgb="FFFFD966"/>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2" fillId="2" borderId="0" xfId="0" applyFont="1" applyFill="1" applyAlignment="1">
      <alignment horizontal="center"/>
    </xf>
    <xf numFmtId="164" fontId="2" fillId="2" borderId="0" xfId="0" applyNumberFormat="1" applyFont="1" applyFill="1" applyAlignment="1">
      <alignment horizontal="center"/>
    </xf>
    <xf numFmtId="164" fontId="0" fillId="0" borderId="0" xfId="0" applyNumberFormat="1"/>
    <xf numFmtId="165" fontId="2" fillId="2" borderId="0" xfId="0" applyNumberFormat="1" applyFont="1" applyFill="1" applyAlignment="1">
      <alignment horizontal="center"/>
    </xf>
    <xf numFmtId="165" fontId="0" fillId="0" borderId="0" xfId="0" applyNumberFormat="1"/>
    <xf numFmtId="0" fontId="2" fillId="3" borderId="0" xfId="0" applyFont="1" applyFill="1" applyAlignment="1">
      <alignment horizontal="center"/>
    </xf>
    <xf numFmtId="164" fontId="2" fillId="3" borderId="0" xfId="0" applyNumberFormat="1" applyFont="1" applyFill="1" applyAlignment="1">
      <alignment horizontal="center"/>
    </xf>
    <xf numFmtId="0" fontId="2" fillId="4" borderId="0" xfId="0" applyFont="1" applyFill="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0" borderId="0" xfId="0" applyFont="1"/>
    <xf numFmtId="167" fontId="0" fillId="0" borderId="0" xfId="0" applyNumberFormat="1"/>
    <xf numFmtId="0" fontId="0" fillId="0" borderId="0" xfId="0"/>
    <xf numFmtId="0" fontId="4" fillId="2" borderId="0" xfId="0" applyFont="1" applyFill="1" applyAlignment="1">
      <alignment horizontal="center"/>
    </xf>
    <xf numFmtId="0" fontId="5" fillId="5" borderId="0" xfId="0" applyFont="1" applyFill="1"/>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0" xfId="0" applyFont="1" applyFill="1" applyBorder="1" applyAlignment="1">
      <alignment horizontal="center" vertical="center"/>
    </xf>
    <xf numFmtId="0" fontId="1" fillId="6" borderId="5" xfId="0" applyFont="1" applyFill="1" applyBorder="1" applyAlignment="1">
      <alignment horizontal="center" vertical="center"/>
    </xf>
    <xf numFmtId="166" fontId="6" fillId="6" borderId="4" xfId="0" applyNumberFormat="1" applyFont="1" applyFill="1" applyBorder="1" applyAlignment="1">
      <alignment horizontal="center" vertical="center"/>
    </xf>
    <xf numFmtId="0" fontId="1" fillId="6" borderId="6"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8"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0" xfId="0" applyFont="1" applyFill="1" applyBorder="1" applyAlignment="1">
      <alignment horizontal="center" vertical="center"/>
    </xf>
    <xf numFmtId="0" fontId="1" fillId="7" borderId="5" xfId="0" applyFont="1" applyFill="1" applyBorder="1" applyAlignment="1">
      <alignment horizontal="center" vertical="center"/>
    </xf>
    <xf numFmtId="166" fontId="6" fillId="7" borderId="4" xfId="0" applyNumberFormat="1" applyFont="1" applyFill="1" applyBorder="1" applyAlignment="1">
      <alignment horizontal="center" vertic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xf numFmtId="0" fontId="7" fillId="7" borderId="4"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0" xfId="0" applyFont="1" applyFill="1" applyBorder="1" applyAlignment="1">
      <alignment horizontal="center" vertical="center"/>
    </xf>
    <xf numFmtId="0" fontId="1" fillId="8" borderId="5" xfId="0" applyFont="1" applyFill="1" applyBorder="1" applyAlignment="1">
      <alignment horizontal="center" vertical="center"/>
    </xf>
    <xf numFmtId="0" fontId="6" fillId="8" borderId="4"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1" fillId="8" borderId="8" xfId="0" applyFont="1" applyFill="1" applyBorder="1" applyAlignment="1">
      <alignment horizontal="center" vertical="center"/>
    </xf>
  </cellXfs>
  <cellStyles count="1">
    <cellStyle name="Normal" xfId="0" builtinId="0"/>
  </cellStyles>
  <dxfs count="6">
    <dxf>
      <numFmt numFmtId="164" formatCode="mm/dd/yyyy"/>
    </dxf>
    <dxf>
      <numFmt numFmtId="164" formatCode="mm/dd/yyyy"/>
    </dxf>
    <dxf>
      <font>
        <b/>
        <i val="0"/>
        <strike val="0"/>
        <condense val="0"/>
        <extend val="0"/>
        <outline val="0"/>
        <shadow val="0"/>
        <u val="none"/>
        <vertAlign val="baseline"/>
        <sz val="11"/>
        <color rgb="FFFFFFFF"/>
        <name val="Aptos Narrow"/>
        <family val="2"/>
        <scheme val="minor"/>
      </font>
      <fill>
        <patternFill patternType="solid">
          <fgColor indexed="64"/>
          <bgColor rgb="FFC0504D"/>
        </patternFill>
      </fill>
      <alignment horizontal="center" vertical="bottom" textRotation="0" wrapText="0" indent="0" justifyLastLine="0" shrinkToFit="0" readingOrder="0"/>
    </dxf>
    <dxf>
      <numFmt numFmtId="165" formatCode="&quot;€&quot;#,##0.00"/>
    </dxf>
    <dxf>
      <numFmt numFmtId="164" formatCode="mm/dd/yyyy"/>
    </dxf>
    <dxf>
      <numFmt numFmtId="164" formatCode="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 Asset Management System Design.xlsx]Pivot_SLA!SLA_Performance</c:name>
    <c:fmtId val="0"/>
  </c:pivotSource>
  <c:chart>
    <c:title>
      <c:tx>
        <c:rich>
          <a:bodyPr/>
          <a:lstStyle/>
          <a:p>
            <a:pPr>
              <a:defRPr sz="1200" b="1"/>
            </a:pPr>
            <a:r>
              <a:rPr lang="en-GB"/>
              <a:t>Monthly SLA Breach Rate Trend</a:t>
            </a:r>
          </a:p>
        </c:rich>
      </c:tx>
      <c:overlay val="0"/>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Pivot_SLA!$B$3:$B$5</c:f>
              <c:strCache>
                <c:ptCount val="1"/>
                <c:pt idx="0">
                  <c:v>Apr-2026 - Total Repairs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Pivot_SLA!$B$6:$B$41</c:f>
              <c:numCache>
                <c:formatCode>General</c:formatCode>
                <c:ptCount val="28"/>
                <c:pt idx="0">
                  <c:v>3</c:v>
                </c:pt>
                <c:pt idx="1">
                  <c:v>2</c:v>
                </c:pt>
                <c:pt idx="2">
                  <c:v>2</c:v>
                </c:pt>
                <c:pt idx="3">
                  <c:v>4</c:v>
                </c:pt>
                <c:pt idx="4">
                  <c:v>5</c:v>
                </c:pt>
                <c:pt idx="5">
                  <c:v>2</c:v>
                </c:pt>
                <c:pt idx="6">
                  <c:v>1</c:v>
                </c:pt>
                <c:pt idx="7">
                  <c:v>4</c:v>
                </c:pt>
                <c:pt idx="8">
                  <c:v>5</c:v>
                </c:pt>
                <c:pt idx="9">
                  <c:v>3</c:v>
                </c:pt>
                <c:pt idx="10">
                  <c:v>1</c:v>
                </c:pt>
                <c:pt idx="11">
                  <c:v>5</c:v>
                </c:pt>
                <c:pt idx="12">
                  <c:v>4</c:v>
                </c:pt>
                <c:pt idx="13">
                  <c:v>1</c:v>
                </c:pt>
                <c:pt idx="14">
                  <c:v>3</c:v>
                </c:pt>
                <c:pt idx="16">
                  <c:v>2</c:v>
                </c:pt>
                <c:pt idx="17">
                  <c:v>2</c:v>
                </c:pt>
                <c:pt idx="18">
                  <c:v>1</c:v>
                </c:pt>
                <c:pt idx="19">
                  <c:v>3</c:v>
                </c:pt>
                <c:pt idx="21">
                  <c:v>2</c:v>
                </c:pt>
                <c:pt idx="22">
                  <c:v>2</c:v>
                </c:pt>
                <c:pt idx="23">
                  <c:v>3</c:v>
                </c:pt>
                <c:pt idx="24">
                  <c:v>3</c:v>
                </c:pt>
                <c:pt idx="25">
                  <c:v>1</c:v>
                </c:pt>
                <c:pt idx="26">
                  <c:v>1</c:v>
                </c:pt>
                <c:pt idx="27">
                  <c:v>3</c:v>
                </c:pt>
              </c:numCache>
            </c:numRef>
          </c:val>
          <c:smooth val="0"/>
          <c:extLst>
            <c:ext xmlns:c16="http://schemas.microsoft.com/office/drawing/2014/chart" uri="{C3380CC4-5D6E-409C-BE32-E72D297353CC}">
              <c16:uniqueId val="{00000001-7CE1-4C6E-A849-0A99CB6DE6DA}"/>
            </c:ext>
          </c:extLst>
        </c:ser>
        <c:ser>
          <c:idx val="1"/>
          <c:order val="1"/>
          <c:tx>
            <c:strRef>
              <c:f>Pivot_SLA!$C$3:$C$5</c:f>
              <c:strCache>
                <c:ptCount val="1"/>
                <c:pt idx="0">
                  <c:v>Apr-2026 - Breaches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Pivot_SLA!$C$6:$C$41</c:f>
              <c:numCache>
                <c:formatCode>General</c:formatCode>
                <c:ptCount val="28"/>
                <c:pt idx="0">
                  <c:v>3</c:v>
                </c:pt>
                <c:pt idx="1">
                  <c:v>2</c:v>
                </c:pt>
                <c:pt idx="2">
                  <c:v>2</c:v>
                </c:pt>
                <c:pt idx="3">
                  <c:v>4</c:v>
                </c:pt>
                <c:pt idx="4">
                  <c:v>5</c:v>
                </c:pt>
                <c:pt idx="5">
                  <c:v>2</c:v>
                </c:pt>
                <c:pt idx="6">
                  <c:v>1</c:v>
                </c:pt>
                <c:pt idx="7">
                  <c:v>4</c:v>
                </c:pt>
                <c:pt idx="8">
                  <c:v>5</c:v>
                </c:pt>
                <c:pt idx="9">
                  <c:v>3</c:v>
                </c:pt>
                <c:pt idx="10">
                  <c:v>1</c:v>
                </c:pt>
                <c:pt idx="11">
                  <c:v>5</c:v>
                </c:pt>
                <c:pt idx="12">
                  <c:v>4</c:v>
                </c:pt>
                <c:pt idx="13">
                  <c:v>1</c:v>
                </c:pt>
                <c:pt idx="14">
                  <c:v>3</c:v>
                </c:pt>
                <c:pt idx="16">
                  <c:v>2</c:v>
                </c:pt>
                <c:pt idx="17">
                  <c:v>2</c:v>
                </c:pt>
                <c:pt idx="18">
                  <c:v>1</c:v>
                </c:pt>
                <c:pt idx="19">
                  <c:v>3</c:v>
                </c:pt>
                <c:pt idx="21">
                  <c:v>2</c:v>
                </c:pt>
                <c:pt idx="22">
                  <c:v>2</c:v>
                </c:pt>
                <c:pt idx="23">
                  <c:v>3</c:v>
                </c:pt>
                <c:pt idx="24">
                  <c:v>3</c:v>
                </c:pt>
                <c:pt idx="25">
                  <c:v>1</c:v>
                </c:pt>
                <c:pt idx="26">
                  <c:v>1</c:v>
                </c:pt>
                <c:pt idx="27">
                  <c:v>3</c:v>
                </c:pt>
              </c:numCache>
            </c:numRef>
          </c:val>
          <c:smooth val="0"/>
          <c:extLst>
            <c:ext xmlns:c16="http://schemas.microsoft.com/office/drawing/2014/chart" uri="{C3380CC4-5D6E-409C-BE32-E72D297353CC}">
              <c16:uniqueId val="{00000002-7CE1-4C6E-A849-0A99CB6DE6DA}"/>
            </c:ext>
          </c:extLst>
        </c:ser>
        <c:ser>
          <c:idx val="2"/>
          <c:order val="2"/>
          <c:tx>
            <c:strRef>
              <c:f>Pivot_SLA!$D$3:$D$5</c:f>
              <c:strCache>
                <c:ptCount val="1"/>
                <c:pt idx="0">
                  <c:v>Dec-2025 - Total Repairs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Pivot_SLA!$D$6:$D$41</c:f>
              <c:numCache>
                <c:formatCode>General</c:formatCode>
                <c:ptCount val="28"/>
                <c:pt idx="0">
                  <c:v>1</c:v>
                </c:pt>
                <c:pt idx="1">
                  <c:v>2</c:v>
                </c:pt>
                <c:pt idx="2">
                  <c:v>2</c:v>
                </c:pt>
                <c:pt idx="3">
                  <c:v>1</c:v>
                </c:pt>
                <c:pt idx="4">
                  <c:v>2</c:v>
                </c:pt>
                <c:pt idx="5">
                  <c:v>1</c:v>
                </c:pt>
                <c:pt idx="7">
                  <c:v>4</c:v>
                </c:pt>
                <c:pt idx="8">
                  <c:v>1</c:v>
                </c:pt>
                <c:pt idx="9">
                  <c:v>4</c:v>
                </c:pt>
                <c:pt idx="11">
                  <c:v>2</c:v>
                </c:pt>
                <c:pt idx="14">
                  <c:v>4</c:v>
                </c:pt>
                <c:pt idx="15">
                  <c:v>2</c:v>
                </c:pt>
                <c:pt idx="16">
                  <c:v>2</c:v>
                </c:pt>
                <c:pt idx="17">
                  <c:v>4</c:v>
                </c:pt>
                <c:pt idx="19">
                  <c:v>3</c:v>
                </c:pt>
                <c:pt idx="20">
                  <c:v>2</c:v>
                </c:pt>
                <c:pt idx="21">
                  <c:v>5</c:v>
                </c:pt>
                <c:pt idx="22">
                  <c:v>3</c:v>
                </c:pt>
                <c:pt idx="24">
                  <c:v>4</c:v>
                </c:pt>
                <c:pt idx="25">
                  <c:v>2</c:v>
                </c:pt>
                <c:pt idx="27">
                  <c:v>2</c:v>
                </c:pt>
              </c:numCache>
            </c:numRef>
          </c:val>
          <c:smooth val="0"/>
          <c:extLst>
            <c:ext xmlns:c16="http://schemas.microsoft.com/office/drawing/2014/chart" uri="{C3380CC4-5D6E-409C-BE32-E72D297353CC}">
              <c16:uniqueId val="{00000012-7CE1-4C6E-A849-0A99CB6DE6DA}"/>
            </c:ext>
          </c:extLst>
        </c:ser>
        <c:ser>
          <c:idx val="3"/>
          <c:order val="3"/>
          <c:tx>
            <c:strRef>
              <c:f>Pivot_SLA!$E$3:$E$5</c:f>
              <c:strCache>
                <c:ptCount val="1"/>
                <c:pt idx="0">
                  <c:v>Dec-2025 - Breaches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Pivot_SLA!$E$6:$E$41</c:f>
              <c:numCache>
                <c:formatCode>General</c:formatCode>
                <c:ptCount val="28"/>
                <c:pt idx="0">
                  <c:v>1</c:v>
                </c:pt>
                <c:pt idx="1">
                  <c:v>2</c:v>
                </c:pt>
                <c:pt idx="2">
                  <c:v>2</c:v>
                </c:pt>
                <c:pt idx="3">
                  <c:v>1</c:v>
                </c:pt>
                <c:pt idx="4">
                  <c:v>2</c:v>
                </c:pt>
                <c:pt idx="5">
                  <c:v>1</c:v>
                </c:pt>
                <c:pt idx="7">
                  <c:v>4</c:v>
                </c:pt>
                <c:pt idx="8">
                  <c:v>1</c:v>
                </c:pt>
                <c:pt idx="9">
                  <c:v>4</c:v>
                </c:pt>
                <c:pt idx="11">
                  <c:v>2</c:v>
                </c:pt>
                <c:pt idx="14">
                  <c:v>4</c:v>
                </c:pt>
                <c:pt idx="15">
                  <c:v>2</c:v>
                </c:pt>
                <c:pt idx="16">
                  <c:v>2</c:v>
                </c:pt>
                <c:pt idx="17">
                  <c:v>4</c:v>
                </c:pt>
                <c:pt idx="19">
                  <c:v>3</c:v>
                </c:pt>
                <c:pt idx="20">
                  <c:v>2</c:v>
                </c:pt>
                <c:pt idx="21">
                  <c:v>5</c:v>
                </c:pt>
                <c:pt idx="22">
                  <c:v>3</c:v>
                </c:pt>
                <c:pt idx="24">
                  <c:v>4</c:v>
                </c:pt>
                <c:pt idx="25">
                  <c:v>2</c:v>
                </c:pt>
                <c:pt idx="27">
                  <c:v>2</c:v>
                </c:pt>
              </c:numCache>
            </c:numRef>
          </c:val>
          <c:smooth val="0"/>
          <c:extLst>
            <c:ext xmlns:c16="http://schemas.microsoft.com/office/drawing/2014/chart" uri="{C3380CC4-5D6E-409C-BE32-E72D297353CC}">
              <c16:uniqueId val="{00000013-7CE1-4C6E-A849-0A99CB6DE6DA}"/>
            </c:ext>
          </c:extLst>
        </c:ser>
        <c:ser>
          <c:idx val="4"/>
          <c:order val="4"/>
          <c:tx>
            <c:strRef>
              <c:f>Pivot_SLA!$F$3:$F$5</c:f>
              <c:strCache>
                <c:ptCount val="1"/>
                <c:pt idx="0">
                  <c:v>Feb-2026 - Total Repairs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Pivot_SLA!$F$6:$F$41</c:f>
              <c:numCache>
                <c:formatCode>General</c:formatCode>
                <c:ptCount val="28"/>
                <c:pt idx="1">
                  <c:v>2</c:v>
                </c:pt>
                <c:pt idx="5">
                  <c:v>1</c:v>
                </c:pt>
                <c:pt idx="7">
                  <c:v>1</c:v>
                </c:pt>
                <c:pt idx="8">
                  <c:v>2</c:v>
                </c:pt>
                <c:pt idx="12">
                  <c:v>1</c:v>
                </c:pt>
                <c:pt idx="13">
                  <c:v>2</c:v>
                </c:pt>
                <c:pt idx="14">
                  <c:v>1</c:v>
                </c:pt>
                <c:pt idx="15">
                  <c:v>1</c:v>
                </c:pt>
                <c:pt idx="16">
                  <c:v>1</c:v>
                </c:pt>
                <c:pt idx="17">
                  <c:v>1</c:v>
                </c:pt>
                <c:pt idx="20">
                  <c:v>3</c:v>
                </c:pt>
                <c:pt idx="21">
                  <c:v>2</c:v>
                </c:pt>
                <c:pt idx="22">
                  <c:v>1</c:v>
                </c:pt>
                <c:pt idx="23">
                  <c:v>2</c:v>
                </c:pt>
                <c:pt idx="26">
                  <c:v>3</c:v>
                </c:pt>
                <c:pt idx="27">
                  <c:v>2</c:v>
                </c:pt>
              </c:numCache>
            </c:numRef>
          </c:val>
          <c:smooth val="0"/>
          <c:extLst>
            <c:ext xmlns:c16="http://schemas.microsoft.com/office/drawing/2014/chart" uri="{C3380CC4-5D6E-409C-BE32-E72D297353CC}">
              <c16:uniqueId val="{00000014-7CE1-4C6E-A849-0A99CB6DE6DA}"/>
            </c:ext>
          </c:extLst>
        </c:ser>
        <c:ser>
          <c:idx val="5"/>
          <c:order val="5"/>
          <c:tx>
            <c:strRef>
              <c:f>Pivot_SLA!$G$3:$G$5</c:f>
              <c:strCache>
                <c:ptCount val="1"/>
                <c:pt idx="0">
                  <c:v>Feb-2026 - Breaches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Pivot_SLA!$G$6:$G$41</c:f>
              <c:numCache>
                <c:formatCode>General</c:formatCode>
                <c:ptCount val="28"/>
                <c:pt idx="1">
                  <c:v>2</c:v>
                </c:pt>
                <c:pt idx="5">
                  <c:v>1</c:v>
                </c:pt>
                <c:pt idx="7">
                  <c:v>1</c:v>
                </c:pt>
                <c:pt idx="8">
                  <c:v>2</c:v>
                </c:pt>
                <c:pt idx="12">
                  <c:v>1</c:v>
                </c:pt>
                <c:pt idx="13">
                  <c:v>2</c:v>
                </c:pt>
                <c:pt idx="14">
                  <c:v>1</c:v>
                </c:pt>
                <c:pt idx="15">
                  <c:v>1</c:v>
                </c:pt>
                <c:pt idx="16">
                  <c:v>1</c:v>
                </c:pt>
                <c:pt idx="17">
                  <c:v>1</c:v>
                </c:pt>
                <c:pt idx="20">
                  <c:v>3</c:v>
                </c:pt>
                <c:pt idx="21">
                  <c:v>2</c:v>
                </c:pt>
                <c:pt idx="22">
                  <c:v>1</c:v>
                </c:pt>
                <c:pt idx="23">
                  <c:v>2</c:v>
                </c:pt>
                <c:pt idx="26">
                  <c:v>3</c:v>
                </c:pt>
                <c:pt idx="27">
                  <c:v>2</c:v>
                </c:pt>
              </c:numCache>
            </c:numRef>
          </c:val>
          <c:smooth val="0"/>
          <c:extLst>
            <c:ext xmlns:c16="http://schemas.microsoft.com/office/drawing/2014/chart" uri="{C3380CC4-5D6E-409C-BE32-E72D297353CC}">
              <c16:uniqueId val="{00000015-7CE1-4C6E-A849-0A99CB6DE6DA}"/>
            </c:ext>
          </c:extLst>
        </c:ser>
        <c:ser>
          <c:idx val="6"/>
          <c:order val="6"/>
          <c:tx>
            <c:strRef>
              <c:f>Pivot_SLA!$H$3:$H$5</c:f>
              <c:strCache>
                <c:ptCount val="1"/>
                <c:pt idx="0">
                  <c:v>Jan-2026 - Total Repairs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Pivot_SLA!$H$6:$H$41</c:f>
              <c:numCache>
                <c:formatCode>General</c:formatCode>
                <c:ptCount val="28"/>
                <c:pt idx="0">
                  <c:v>1</c:v>
                </c:pt>
                <c:pt idx="3">
                  <c:v>3</c:v>
                </c:pt>
                <c:pt idx="4">
                  <c:v>1</c:v>
                </c:pt>
                <c:pt idx="5">
                  <c:v>1</c:v>
                </c:pt>
                <c:pt idx="6">
                  <c:v>4</c:v>
                </c:pt>
                <c:pt idx="7">
                  <c:v>3</c:v>
                </c:pt>
                <c:pt idx="8">
                  <c:v>3</c:v>
                </c:pt>
                <c:pt idx="9">
                  <c:v>3</c:v>
                </c:pt>
                <c:pt idx="10">
                  <c:v>3</c:v>
                </c:pt>
                <c:pt idx="11">
                  <c:v>4</c:v>
                </c:pt>
                <c:pt idx="12">
                  <c:v>2</c:v>
                </c:pt>
                <c:pt idx="13">
                  <c:v>1</c:v>
                </c:pt>
                <c:pt idx="15">
                  <c:v>1</c:v>
                </c:pt>
                <c:pt idx="16">
                  <c:v>2</c:v>
                </c:pt>
                <c:pt idx="18">
                  <c:v>2</c:v>
                </c:pt>
                <c:pt idx="19">
                  <c:v>4</c:v>
                </c:pt>
                <c:pt idx="20">
                  <c:v>4</c:v>
                </c:pt>
                <c:pt idx="21">
                  <c:v>1</c:v>
                </c:pt>
                <c:pt idx="22">
                  <c:v>1</c:v>
                </c:pt>
                <c:pt idx="23">
                  <c:v>2</c:v>
                </c:pt>
                <c:pt idx="25">
                  <c:v>1</c:v>
                </c:pt>
                <c:pt idx="26">
                  <c:v>2</c:v>
                </c:pt>
              </c:numCache>
            </c:numRef>
          </c:val>
          <c:smooth val="0"/>
          <c:extLst>
            <c:ext xmlns:c16="http://schemas.microsoft.com/office/drawing/2014/chart" uri="{C3380CC4-5D6E-409C-BE32-E72D297353CC}">
              <c16:uniqueId val="{00000016-7CE1-4C6E-A849-0A99CB6DE6DA}"/>
            </c:ext>
          </c:extLst>
        </c:ser>
        <c:ser>
          <c:idx val="7"/>
          <c:order val="7"/>
          <c:tx>
            <c:strRef>
              <c:f>Pivot_SLA!$I$3:$I$5</c:f>
              <c:strCache>
                <c:ptCount val="1"/>
                <c:pt idx="0">
                  <c:v>Jan-2026 - Breaches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Pivot_SLA!$I$6:$I$41</c:f>
              <c:numCache>
                <c:formatCode>General</c:formatCode>
                <c:ptCount val="28"/>
                <c:pt idx="0">
                  <c:v>1</c:v>
                </c:pt>
                <c:pt idx="3">
                  <c:v>3</c:v>
                </c:pt>
                <c:pt idx="4">
                  <c:v>1</c:v>
                </c:pt>
                <c:pt idx="5">
                  <c:v>1</c:v>
                </c:pt>
                <c:pt idx="6">
                  <c:v>4</c:v>
                </c:pt>
                <c:pt idx="7">
                  <c:v>3</c:v>
                </c:pt>
                <c:pt idx="8">
                  <c:v>3</c:v>
                </c:pt>
                <c:pt idx="9">
                  <c:v>3</c:v>
                </c:pt>
                <c:pt idx="10">
                  <c:v>3</c:v>
                </c:pt>
                <c:pt idx="11">
                  <c:v>4</c:v>
                </c:pt>
                <c:pt idx="12">
                  <c:v>2</c:v>
                </c:pt>
                <c:pt idx="13">
                  <c:v>1</c:v>
                </c:pt>
                <c:pt idx="15">
                  <c:v>1</c:v>
                </c:pt>
                <c:pt idx="16">
                  <c:v>2</c:v>
                </c:pt>
                <c:pt idx="18">
                  <c:v>2</c:v>
                </c:pt>
                <c:pt idx="19">
                  <c:v>4</c:v>
                </c:pt>
                <c:pt idx="20">
                  <c:v>4</c:v>
                </c:pt>
                <c:pt idx="21">
                  <c:v>1</c:v>
                </c:pt>
                <c:pt idx="22">
                  <c:v>1</c:v>
                </c:pt>
                <c:pt idx="23">
                  <c:v>2</c:v>
                </c:pt>
                <c:pt idx="25">
                  <c:v>1</c:v>
                </c:pt>
                <c:pt idx="26">
                  <c:v>2</c:v>
                </c:pt>
              </c:numCache>
            </c:numRef>
          </c:val>
          <c:smooth val="0"/>
          <c:extLst>
            <c:ext xmlns:c16="http://schemas.microsoft.com/office/drawing/2014/chart" uri="{C3380CC4-5D6E-409C-BE32-E72D297353CC}">
              <c16:uniqueId val="{00000017-7CE1-4C6E-A849-0A99CB6DE6DA}"/>
            </c:ext>
          </c:extLst>
        </c:ser>
        <c:ser>
          <c:idx val="8"/>
          <c:order val="8"/>
          <c:tx>
            <c:strRef>
              <c:f>Pivot_SLA!$J$3:$J$5</c:f>
              <c:strCache>
                <c:ptCount val="1"/>
                <c:pt idx="0">
                  <c:v>Mar-2026 - Total Repairs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Pivot_SLA!$J$6:$J$41</c:f>
              <c:numCache>
                <c:formatCode>General</c:formatCode>
                <c:ptCount val="28"/>
                <c:pt idx="0">
                  <c:v>10</c:v>
                </c:pt>
                <c:pt idx="1">
                  <c:v>7</c:v>
                </c:pt>
                <c:pt idx="2">
                  <c:v>7</c:v>
                </c:pt>
                <c:pt idx="3">
                  <c:v>7</c:v>
                </c:pt>
                <c:pt idx="4">
                  <c:v>11</c:v>
                </c:pt>
                <c:pt idx="5">
                  <c:v>6</c:v>
                </c:pt>
                <c:pt idx="6">
                  <c:v>3</c:v>
                </c:pt>
                <c:pt idx="7">
                  <c:v>4</c:v>
                </c:pt>
                <c:pt idx="8">
                  <c:v>2</c:v>
                </c:pt>
                <c:pt idx="9">
                  <c:v>6</c:v>
                </c:pt>
                <c:pt idx="10">
                  <c:v>6</c:v>
                </c:pt>
                <c:pt idx="11">
                  <c:v>11</c:v>
                </c:pt>
                <c:pt idx="12">
                  <c:v>8</c:v>
                </c:pt>
                <c:pt idx="13">
                  <c:v>6</c:v>
                </c:pt>
                <c:pt idx="14">
                  <c:v>5</c:v>
                </c:pt>
                <c:pt idx="15">
                  <c:v>2</c:v>
                </c:pt>
                <c:pt idx="16">
                  <c:v>7</c:v>
                </c:pt>
                <c:pt idx="17">
                  <c:v>4</c:v>
                </c:pt>
                <c:pt idx="18">
                  <c:v>1</c:v>
                </c:pt>
                <c:pt idx="19">
                  <c:v>8</c:v>
                </c:pt>
                <c:pt idx="20">
                  <c:v>5</c:v>
                </c:pt>
                <c:pt idx="21">
                  <c:v>5</c:v>
                </c:pt>
                <c:pt idx="22">
                  <c:v>4</c:v>
                </c:pt>
                <c:pt idx="23">
                  <c:v>7</c:v>
                </c:pt>
                <c:pt idx="24">
                  <c:v>6</c:v>
                </c:pt>
                <c:pt idx="25">
                  <c:v>5</c:v>
                </c:pt>
                <c:pt idx="26">
                  <c:v>7</c:v>
                </c:pt>
                <c:pt idx="27">
                  <c:v>3</c:v>
                </c:pt>
              </c:numCache>
            </c:numRef>
          </c:val>
          <c:smooth val="0"/>
          <c:extLst>
            <c:ext xmlns:c16="http://schemas.microsoft.com/office/drawing/2014/chart" uri="{C3380CC4-5D6E-409C-BE32-E72D297353CC}">
              <c16:uniqueId val="{00000018-7CE1-4C6E-A849-0A99CB6DE6DA}"/>
            </c:ext>
          </c:extLst>
        </c:ser>
        <c:ser>
          <c:idx val="9"/>
          <c:order val="9"/>
          <c:tx>
            <c:strRef>
              <c:f>Pivot_SLA!$K$3:$K$5</c:f>
              <c:strCache>
                <c:ptCount val="1"/>
                <c:pt idx="0">
                  <c:v>Mar-2026 - Breaches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Pivot_SLA!$K$6:$K$41</c:f>
              <c:numCache>
                <c:formatCode>General</c:formatCode>
                <c:ptCount val="28"/>
                <c:pt idx="0">
                  <c:v>10</c:v>
                </c:pt>
                <c:pt idx="1">
                  <c:v>7</c:v>
                </c:pt>
                <c:pt idx="2">
                  <c:v>7</c:v>
                </c:pt>
                <c:pt idx="3">
                  <c:v>7</c:v>
                </c:pt>
                <c:pt idx="4">
                  <c:v>11</c:v>
                </c:pt>
                <c:pt idx="5">
                  <c:v>6</c:v>
                </c:pt>
                <c:pt idx="6">
                  <c:v>3</c:v>
                </c:pt>
                <c:pt idx="7">
                  <c:v>4</c:v>
                </c:pt>
                <c:pt idx="8">
                  <c:v>2</c:v>
                </c:pt>
                <c:pt idx="9">
                  <c:v>6</c:v>
                </c:pt>
                <c:pt idx="10">
                  <c:v>6</c:v>
                </c:pt>
                <c:pt idx="11">
                  <c:v>11</c:v>
                </c:pt>
                <c:pt idx="12">
                  <c:v>8</c:v>
                </c:pt>
                <c:pt idx="13">
                  <c:v>6</c:v>
                </c:pt>
                <c:pt idx="14">
                  <c:v>5</c:v>
                </c:pt>
                <c:pt idx="15">
                  <c:v>2</c:v>
                </c:pt>
                <c:pt idx="16">
                  <c:v>7</c:v>
                </c:pt>
                <c:pt idx="17">
                  <c:v>4</c:v>
                </c:pt>
                <c:pt idx="18">
                  <c:v>1</c:v>
                </c:pt>
                <c:pt idx="19">
                  <c:v>8</c:v>
                </c:pt>
                <c:pt idx="20">
                  <c:v>5</c:v>
                </c:pt>
                <c:pt idx="21">
                  <c:v>5</c:v>
                </c:pt>
                <c:pt idx="22">
                  <c:v>4</c:v>
                </c:pt>
                <c:pt idx="23">
                  <c:v>7</c:v>
                </c:pt>
                <c:pt idx="24">
                  <c:v>6</c:v>
                </c:pt>
                <c:pt idx="25">
                  <c:v>5</c:v>
                </c:pt>
                <c:pt idx="26">
                  <c:v>7</c:v>
                </c:pt>
                <c:pt idx="27">
                  <c:v>3</c:v>
                </c:pt>
              </c:numCache>
            </c:numRef>
          </c:val>
          <c:smooth val="0"/>
          <c:extLst>
            <c:ext xmlns:c16="http://schemas.microsoft.com/office/drawing/2014/chart" uri="{C3380CC4-5D6E-409C-BE32-E72D297353CC}">
              <c16:uniqueId val="{00000019-7CE1-4C6E-A849-0A99CB6DE6DA}"/>
            </c:ext>
          </c:extLst>
        </c:ser>
        <c:ser>
          <c:idx val="10"/>
          <c:order val="10"/>
          <c:tx>
            <c:strRef>
              <c:f>Pivot_SLA!$L$3:$L$5</c:f>
              <c:strCache>
                <c:ptCount val="1"/>
                <c:pt idx="0">
                  <c:v>Nov-2025 - Total Repairs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Pivot_SLA!$L$6:$L$41</c:f>
              <c:numCache>
                <c:formatCode>General</c:formatCode>
                <c:ptCount val="28"/>
                <c:pt idx="0">
                  <c:v>2</c:v>
                </c:pt>
                <c:pt idx="1">
                  <c:v>1</c:v>
                </c:pt>
                <c:pt idx="3">
                  <c:v>1</c:v>
                </c:pt>
                <c:pt idx="5">
                  <c:v>1</c:v>
                </c:pt>
                <c:pt idx="11">
                  <c:v>2</c:v>
                </c:pt>
                <c:pt idx="12">
                  <c:v>1</c:v>
                </c:pt>
                <c:pt idx="15">
                  <c:v>1</c:v>
                </c:pt>
                <c:pt idx="17">
                  <c:v>1</c:v>
                </c:pt>
                <c:pt idx="19">
                  <c:v>2</c:v>
                </c:pt>
                <c:pt idx="21">
                  <c:v>2</c:v>
                </c:pt>
                <c:pt idx="22">
                  <c:v>2</c:v>
                </c:pt>
                <c:pt idx="23">
                  <c:v>1</c:v>
                </c:pt>
                <c:pt idx="25">
                  <c:v>1</c:v>
                </c:pt>
                <c:pt idx="26">
                  <c:v>3</c:v>
                </c:pt>
              </c:numCache>
            </c:numRef>
          </c:val>
          <c:smooth val="0"/>
          <c:extLst>
            <c:ext xmlns:c16="http://schemas.microsoft.com/office/drawing/2014/chart" uri="{C3380CC4-5D6E-409C-BE32-E72D297353CC}">
              <c16:uniqueId val="{0000001A-7CE1-4C6E-A849-0A99CB6DE6DA}"/>
            </c:ext>
          </c:extLst>
        </c:ser>
        <c:ser>
          <c:idx val="11"/>
          <c:order val="11"/>
          <c:tx>
            <c:strRef>
              <c:f>Pivot_SLA!$M$3:$M$5</c:f>
              <c:strCache>
                <c:ptCount val="1"/>
                <c:pt idx="0">
                  <c:v>Nov-2025 - Breaches</c:v>
                </c:pt>
              </c:strCache>
            </c:strRef>
          </c:tx>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Pivot_SLA!$M$6:$M$41</c:f>
              <c:numCache>
                <c:formatCode>General</c:formatCode>
                <c:ptCount val="28"/>
                <c:pt idx="0">
                  <c:v>2</c:v>
                </c:pt>
                <c:pt idx="1">
                  <c:v>1</c:v>
                </c:pt>
                <c:pt idx="3">
                  <c:v>1</c:v>
                </c:pt>
                <c:pt idx="5">
                  <c:v>1</c:v>
                </c:pt>
                <c:pt idx="11">
                  <c:v>2</c:v>
                </c:pt>
                <c:pt idx="12">
                  <c:v>1</c:v>
                </c:pt>
                <c:pt idx="15">
                  <c:v>1</c:v>
                </c:pt>
                <c:pt idx="17">
                  <c:v>1</c:v>
                </c:pt>
                <c:pt idx="19">
                  <c:v>2</c:v>
                </c:pt>
                <c:pt idx="21">
                  <c:v>2</c:v>
                </c:pt>
                <c:pt idx="22">
                  <c:v>2</c:v>
                </c:pt>
                <c:pt idx="23">
                  <c:v>1</c:v>
                </c:pt>
                <c:pt idx="25">
                  <c:v>1</c:v>
                </c:pt>
                <c:pt idx="26">
                  <c:v>3</c:v>
                </c:pt>
              </c:numCache>
            </c:numRef>
          </c:val>
          <c:smooth val="0"/>
          <c:extLst>
            <c:ext xmlns:c16="http://schemas.microsoft.com/office/drawing/2014/chart" uri="{C3380CC4-5D6E-409C-BE32-E72D297353CC}">
              <c16:uniqueId val="{0000001B-7CE1-4C6E-A849-0A99CB6DE6DA}"/>
            </c:ext>
          </c:extLst>
        </c:ser>
        <c:dLbls>
          <c:showLegendKey val="0"/>
          <c:showVal val="0"/>
          <c:showCatName val="0"/>
          <c:showSerName val="0"/>
          <c:showPercent val="0"/>
          <c:showBubbleSize val="0"/>
        </c:dLbls>
        <c:marker val="1"/>
        <c:smooth val="0"/>
        <c:axId val="430041696"/>
        <c:axId val="430042776"/>
      </c:lineChart>
      <c:catAx>
        <c:axId val="430041696"/>
        <c:scaling>
          <c:orientation val="minMax"/>
        </c:scaling>
        <c:delete val="0"/>
        <c:axPos val="b"/>
        <c:numFmt formatCode="General" sourceLinked="1"/>
        <c:majorTickMark val="out"/>
        <c:minorTickMark val="none"/>
        <c:tickLblPos val="nextTo"/>
        <c:crossAx val="430042776"/>
        <c:crosses val="autoZero"/>
        <c:auto val="1"/>
        <c:lblAlgn val="ctr"/>
        <c:lblOffset val="100"/>
        <c:noMultiLvlLbl val="0"/>
      </c:catAx>
      <c:valAx>
        <c:axId val="430042776"/>
        <c:scaling>
          <c:orientation val="minMax"/>
        </c:scaling>
        <c:delete val="0"/>
        <c:axPos val="l"/>
        <c:majorGridlines/>
        <c:numFmt formatCode="General" sourceLinked="1"/>
        <c:majorTickMark val="out"/>
        <c:minorTickMark val="none"/>
        <c:tickLblPos val="nextTo"/>
        <c:crossAx val="43004169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pPr>
            <a:r>
              <a:rPr lang="en-GB"/>
              <a:t>Regional Spend Distribution</a:t>
            </a:r>
          </a:p>
        </c:rich>
      </c:tx>
      <c:overlay val="0"/>
    </c:title>
    <c:autoTitleDeleted val="0"/>
    <c:plotArea>
      <c:layout/>
      <c:pieChart>
        <c:varyColors val="1"/>
        <c:ser>
          <c:idx val="0"/>
          <c:order val="0"/>
          <c:tx>
            <c:strRef>
              <c:f>Executive_Dashboard!$N$1</c:f>
              <c:strCache>
                <c:ptCount val="1"/>
                <c:pt idx="0">
                  <c:v>Spend</c:v>
                </c:pt>
              </c:strCache>
            </c:strRef>
          </c:tx>
          <c:dLbls>
            <c:spPr>
              <a:noFill/>
              <a:ln>
                <a:noFill/>
              </a:ln>
              <a:effectLst/>
            </c:spPr>
            <c:showLegendKey val="0"/>
            <c:showVal val="0"/>
            <c:showCatName val="0"/>
            <c:showSerName val="0"/>
            <c:showPercent val="1"/>
            <c:showBubbleSize val="0"/>
            <c:showLeaderLines val="0"/>
            <c:extLst>
              <c:ext xmlns:c15="http://schemas.microsoft.com/office/drawing/2012/chart" uri="{CE6537A1-D6FC-4f65-9D91-7224C49458BB}"/>
            </c:extLst>
          </c:dLbls>
          <c:val>
            <c:numRef>
              <c:f>Executive_Dashboard!$N$2:$N$5</c:f>
            </c:numRef>
          </c:val>
          <c:extLst>
            <c:ext xmlns:c15="http://schemas.microsoft.com/office/drawing/2012/chart" uri="{02D57815-91ED-43cb-92C2-25804820EDAC}">
              <c15:filteredCategoryTitle>
                <c15:cat>
                  <c:strRef>
                    <c:extLst>
                      <c:ext uri="{02D57815-91ED-43cb-92C2-25804820EDAC}">
                        <c15:formulaRef>
                          <c15:sqref>Executive_Dashboard!$M$2:$M$5</c15:sqref>
                        </c15:formulaRef>
                      </c:ext>
                    </c:extLst>
                  </c:strRef>
                </c15:cat>
              </c15:filteredCategoryTitle>
            </c:ext>
            <c:ext xmlns:c16="http://schemas.microsoft.com/office/drawing/2014/chart" uri="{C3380CC4-5D6E-409C-BE32-E72D297353CC}">
              <c16:uniqueId val="{00000001-E38E-43C5-9C45-9DE8724A04BF}"/>
            </c:ext>
          </c:extLst>
        </c:ser>
        <c:dLbls>
          <c:showLegendKey val="0"/>
          <c:showVal val="0"/>
          <c:showCatName val="0"/>
          <c:showSerName val="0"/>
          <c:showPercent val="0"/>
          <c:showBubbleSize val="0"/>
          <c:showLeaderLines val="0"/>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 Asset Management System Design.xlsx]Pivot_SLA!SLA_Performance</c:name>
    <c:fmtId val="1"/>
  </c:pivotSource>
  <c:chart>
    <c:title>
      <c:tx>
        <c:rich>
          <a:bodyPr/>
          <a:lstStyle/>
          <a:p>
            <a:pPr>
              <a:defRPr sz="1200" b="1"/>
            </a:pPr>
            <a:r>
              <a:rPr lang="en-GB"/>
              <a:t>Vendor Performance (Breach Count)</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Pivot_SLA!$B$3:$B$5</c:f>
              <c:strCache>
                <c:ptCount val="1"/>
                <c:pt idx="0">
                  <c:v>Apr-2026 - Total Repairs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Pivot_SLA!$B$6:$B$41</c:f>
              <c:numCache>
                <c:formatCode>General</c:formatCode>
                <c:ptCount val="28"/>
                <c:pt idx="0">
                  <c:v>3</c:v>
                </c:pt>
                <c:pt idx="1">
                  <c:v>2</c:v>
                </c:pt>
                <c:pt idx="2">
                  <c:v>2</c:v>
                </c:pt>
                <c:pt idx="3">
                  <c:v>4</c:v>
                </c:pt>
                <c:pt idx="4">
                  <c:v>5</c:v>
                </c:pt>
                <c:pt idx="5">
                  <c:v>2</c:v>
                </c:pt>
                <c:pt idx="6">
                  <c:v>1</c:v>
                </c:pt>
                <c:pt idx="7">
                  <c:v>4</c:v>
                </c:pt>
                <c:pt idx="8">
                  <c:v>5</c:v>
                </c:pt>
                <c:pt idx="9">
                  <c:v>3</c:v>
                </c:pt>
                <c:pt idx="10">
                  <c:v>1</c:v>
                </c:pt>
                <c:pt idx="11">
                  <c:v>5</c:v>
                </c:pt>
                <c:pt idx="12">
                  <c:v>4</c:v>
                </c:pt>
                <c:pt idx="13">
                  <c:v>1</c:v>
                </c:pt>
                <c:pt idx="14">
                  <c:v>3</c:v>
                </c:pt>
                <c:pt idx="16">
                  <c:v>2</c:v>
                </c:pt>
                <c:pt idx="17">
                  <c:v>2</c:v>
                </c:pt>
                <c:pt idx="18">
                  <c:v>1</c:v>
                </c:pt>
                <c:pt idx="19">
                  <c:v>3</c:v>
                </c:pt>
                <c:pt idx="21">
                  <c:v>2</c:v>
                </c:pt>
                <c:pt idx="22">
                  <c:v>2</c:v>
                </c:pt>
                <c:pt idx="23">
                  <c:v>3</c:v>
                </c:pt>
                <c:pt idx="24">
                  <c:v>3</c:v>
                </c:pt>
                <c:pt idx="25">
                  <c:v>1</c:v>
                </c:pt>
                <c:pt idx="26">
                  <c:v>1</c:v>
                </c:pt>
                <c:pt idx="27">
                  <c:v>3</c:v>
                </c:pt>
              </c:numCache>
            </c:numRef>
          </c:val>
          <c:extLst>
            <c:ext xmlns:c16="http://schemas.microsoft.com/office/drawing/2014/chart" uri="{C3380CC4-5D6E-409C-BE32-E72D297353CC}">
              <c16:uniqueId val="{00000001-510C-4964-B4D9-6F5E5F8264F6}"/>
            </c:ext>
          </c:extLst>
        </c:ser>
        <c:ser>
          <c:idx val="1"/>
          <c:order val="1"/>
          <c:tx>
            <c:strRef>
              <c:f>Pivot_SLA!$C$3:$C$5</c:f>
              <c:strCache>
                <c:ptCount val="1"/>
                <c:pt idx="0">
                  <c:v>Apr-2026 - Breaches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Pivot_SLA!$C$6:$C$41</c:f>
              <c:numCache>
                <c:formatCode>General</c:formatCode>
                <c:ptCount val="28"/>
                <c:pt idx="0">
                  <c:v>3</c:v>
                </c:pt>
                <c:pt idx="1">
                  <c:v>2</c:v>
                </c:pt>
                <c:pt idx="2">
                  <c:v>2</c:v>
                </c:pt>
                <c:pt idx="3">
                  <c:v>4</c:v>
                </c:pt>
                <c:pt idx="4">
                  <c:v>5</c:v>
                </c:pt>
                <c:pt idx="5">
                  <c:v>2</c:v>
                </c:pt>
                <c:pt idx="6">
                  <c:v>1</c:v>
                </c:pt>
                <c:pt idx="7">
                  <c:v>4</c:v>
                </c:pt>
                <c:pt idx="8">
                  <c:v>5</c:v>
                </c:pt>
                <c:pt idx="9">
                  <c:v>3</c:v>
                </c:pt>
                <c:pt idx="10">
                  <c:v>1</c:v>
                </c:pt>
                <c:pt idx="11">
                  <c:v>5</c:v>
                </c:pt>
                <c:pt idx="12">
                  <c:v>4</c:v>
                </c:pt>
                <c:pt idx="13">
                  <c:v>1</c:v>
                </c:pt>
                <c:pt idx="14">
                  <c:v>3</c:v>
                </c:pt>
                <c:pt idx="16">
                  <c:v>2</c:v>
                </c:pt>
                <c:pt idx="17">
                  <c:v>2</c:v>
                </c:pt>
                <c:pt idx="18">
                  <c:v>1</c:v>
                </c:pt>
                <c:pt idx="19">
                  <c:v>3</c:v>
                </c:pt>
                <c:pt idx="21">
                  <c:v>2</c:v>
                </c:pt>
                <c:pt idx="22">
                  <c:v>2</c:v>
                </c:pt>
                <c:pt idx="23">
                  <c:v>3</c:v>
                </c:pt>
                <c:pt idx="24">
                  <c:v>3</c:v>
                </c:pt>
                <c:pt idx="25">
                  <c:v>1</c:v>
                </c:pt>
                <c:pt idx="26">
                  <c:v>1</c:v>
                </c:pt>
                <c:pt idx="27">
                  <c:v>3</c:v>
                </c:pt>
              </c:numCache>
            </c:numRef>
          </c:val>
          <c:extLst>
            <c:ext xmlns:c16="http://schemas.microsoft.com/office/drawing/2014/chart" uri="{C3380CC4-5D6E-409C-BE32-E72D297353CC}">
              <c16:uniqueId val="{00000002-510C-4964-B4D9-6F5E5F8264F6}"/>
            </c:ext>
          </c:extLst>
        </c:ser>
        <c:ser>
          <c:idx val="2"/>
          <c:order val="2"/>
          <c:tx>
            <c:strRef>
              <c:f>Pivot_SLA!$D$3:$D$5</c:f>
              <c:strCache>
                <c:ptCount val="1"/>
                <c:pt idx="0">
                  <c:v>Dec-2025 - Total Repairs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Pivot_SLA!$D$6:$D$41</c:f>
              <c:numCache>
                <c:formatCode>General</c:formatCode>
                <c:ptCount val="28"/>
                <c:pt idx="0">
                  <c:v>1</c:v>
                </c:pt>
                <c:pt idx="1">
                  <c:v>2</c:v>
                </c:pt>
                <c:pt idx="2">
                  <c:v>2</c:v>
                </c:pt>
                <c:pt idx="3">
                  <c:v>1</c:v>
                </c:pt>
                <c:pt idx="4">
                  <c:v>2</c:v>
                </c:pt>
                <c:pt idx="5">
                  <c:v>1</c:v>
                </c:pt>
                <c:pt idx="7">
                  <c:v>4</c:v>
                </c:pt>
                <c:pt idx="8">
                  <c:v>1</c:v>
                </c:pt>
                <c:pt idx="9">
                  <c:v>4</c:v>
                </c:pt>
                <c:pt idx="11">
                  <c:v>2</c:v>
                </c:pt>
                <c:pt idx="14">
                  <c:v>4</c:v>
                </c:pt>
                <c:pt idx="15">
                  <c:v>2</c:v>
                </c:pt>
                <c:pt idx="16">
                  <c:v>2</c:v>
                </c:pt>
                <c:pt idx="17">
                  <c:v>4</c:v>
                </c:pt>
                <c:pt idx="19">
                  <c:v>3</c:v>
                </c:pt>
                <c:pt idx="20">
                  <c:v>2</c:v>
                </c:pt>
                <c:pt idx="21">
                  <c:v>5</c:v>
                </c:pt>
                <c:pt idx="22">
                  <c:v>3</c:v>
                </c:pt>
                <c:pt idx="24">
                  <c:v>4</c:v>
                </c:pt>
                <c:pt idx="25">
                  <c:v>2</c:v>
                </c:pt>
                <c:pt idx="27">
                  <c:v>2</c:v>
                </c:pt>
              </c:numCache>
            </c:numRef>
          </c:val>
          <c:extLst>
            <c:ext xmlns:c16="http://schemas.microsoft.com/office/drawing/2014/chart" uri="{C3380CC4-5D6E-409C-BE32-E72D297353CC}">
              <c16:uniqueId val="{00000012-510C-4964-B4D9-6F5E5F8264F6}"/>
            </c:ext>
          </c:extLst>
        </c:ser>
        <c:ser>
          <c:idx val="3"/>
          <c:order val="3"/>
          <c:tx>
            <c:strRef>
              <c:f>Pivot_SLA!$E$3:$E$5</c:f>
              <c:strCache>
                <c:ptCount val="1"/>
                <c:pt idx="0">
                  <c:v>Dec-2025 - Breaches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Pivot_SLA!$E$6:$E$41</c:f>
              <c:numCache>
                <c:formatCode>General</c:formatCode>
                <c:ptCount val="28"/>
                <c:pt idx="0">
                  <c:v>1</c:v>
                </c:pt>
                <c:pt idx="1">
                  <c:v>2</c:v>
                </c:pt>
                <c:pt idx="2">
                  <c:v>2</c:v>
                </c:pt>
                <c:pt idx="3">
                  <c:v>1</c:v>
                </c:pt>
                <c:pt idx="4">
                  <c:v>2</c:v>
                </c:pt>
                <c:pt idx="5">
                  <c:v>1</c:v>
                </c:pt>
                <c:pt idx="7">
                  <c:v>4</c:v>
                </c:pt>
                <c:pt idx="8">
                  <c:v>1</c:v>
                </c:pt>
                <c:pt idx="9">
                  <c:v>4</c:v>
                </c:pt>
                <c:pt idx="11">
                  <c:v>2</c:v>
                </c:pt>
                <c:pt idx="14">
                  <c:v>4</c:v>
                </c:pt>
                <c:pt idx="15">
                  <c:v>2</c:v>
                </c:pt>
                <c:pt idx="16">
                  <c:v>2</c:v>
                </c:pt>
                <c:pt idx="17">
                  <c:v>4</c:v>
                </c:pt>
                <c:pt idx="19">
                  <c:v>3</c:v>
                </c:pt>
                <c:pt idx="20">
                  <c:v>2</c:v>
                </c:pt>
                <c:pt idx="21">
                  <c:v>5</c:v>
                </c:pt>
                <c:pt idx="22">
                  <c:v>3</c:v>
                </c:pt>
                <c:pt idx="24">
                  <c:v>4</c:v>
                </c:pt>
                <c:pt idx="25">
                  <c:v>2</c:v>
                </c:pt>
                <c:pt idx="27">
                  <c:v>2</c:v>
                </c:pt>
              </c:numCache>
            </c:numRef>
          </c:val>
          <c:extLst>
            <c:ext xmlns:c16="http://schemas.microsoft.com/office/drawing/2014/chart" uri="{C3380CC4-5D6E-409C-BE32-E72D297353CC}">
              <c16:uniqueId val="{00000013-510C-4964-B4D9-6F5E5F8264F6}"/>
            </c:ext>
          </c:extLst>
        </c:ser>
        <c:ser>
          <c:idx val="4"/>
          <c:order val="4"/>
          <c:tx>
            <c:strRef>
              <c:f>Pivot_SLA!$F$3:$F$5</c:f>
              <c:strCache>
                <c:ptCount val="1"/>
                <c:pt idx="0">
                  <c:v>Feb-2026 - Total Repairs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Pivot_SLA!$F$6:$F$41</c:f>
              <c:numCache>
                <c:formatCode>General</c:formatCode>
                <c:ptCount val="28"/>
                <c:pt idx="1">
                  <c:v>2</c:v>
                </c:pt>
                <c:pt idx="5">
                  <c:v>1</c:v>
                </c:pt>
                <c:pt idx="7">
                  <c:v>1</c:v>
                </c:pt>
                <c:pt idx="8">
                  <c:v>2</c:v>
                </c:pt>
                <c:pt idx="12">
                  <c:v>1</c:v>
                </c:pt>
                <c:pt idx="13">
                  <c:v>2</c:v>
                </c:pt>
                <c:pt idx="14">
                  <c:v>1</c:v>
                </c:pt>
                <c:pt idx="15">
                  <c:v>1</c:v>
                </c:pt>
                <c:pt idx="16">
                  <c:v>1</c:v>
                </c:pt>
                <c:pt idx="17">
                  <c:v>1</c:v>
                </c:pt>
                <c:pt idx="20">
                  <c:v>3</c:v>
                </c:pt>
                <c:pt idx="21">
                  <c:v>2</c:v>
                </c:pt>
                <c:pt idx="22">
                  <c:v>1</c:v>
                </c:pt>
                <c:pt idx="23">
                  <c:v>2</c:v>
                </c:pt>
                <c:pt idx="26">
                  <c:v>3</c:v>
                </c:pt>
                <c:pt idx="27">
                  <c:v>2</c:v>
                </c:pt>
              </c:numCache>
            </c:numRef>
          </c:val>
          <c:extLst>
            <c:ext xmlns:c16="http://schemas.microsoft.com/office/drawing/2014/chart" uri="{C3380CC4-5D6E-409C-BE32-E72D297353CC}">
              <c16:uniqueId val="{00000014-510C-4964-B4D9-6F5E5F8264F6}"/>
            </c:ext>
          </c:extLst>
        </c:ser>
        <c:ser>
          <c:idx val="5"/>
          <c:order val="5"/>
          <c:tx>
            <c:strRef>
              <c:f>Pivot_SLA!$G$3:$G$5</c:f>
              <c:strCache>
                <c:ptCount val="1"/>
                <c:pt idx="0">
                  <c:v>Feb-2026 - Breaches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Pivot_SLA!$G$6:$G$41</c:f>
              <c:numCache>
                <c:formatCode>General</c:formatCode>
                <c:ptCount val="28"/>
                <c:pt idx="1">
                  <c:v>2</c:v>
                </c:pt>
                <c:pt idx="5">
                  <c:v>1</c:v>
                </c:pt>
                <c:pt idx="7">
                  <c:v>1</c:v>
                </c:pt>
                <c:pt idx="8">
                  <c:v>2</c:v>
                </c:pt>
                <c:pt idx="12">
                  <c:v>1</c:v>
                </c:pt>
                <c:pt idx="13">
                  <c:v>2</c:v>
                </c:pt>
                <c:pt idx="14">
                  <c:v>1</c:v>
                </c:pt>
                <c:pt idx="15">
                  <c:v>1</c:v>
                </c:pt>
                <c:pt idx="16">
                  <c:v>1</c:v>
                </c:pt>
                <c:pt idx="17">
                  <c:v>1</c:v>
                </c:pt>
                <c:pt idx="20">
                  <c:v>3</c:v>
                </c:pt>
                <c:pt idx="21">
                  <c:v>2</c:v>
                </c:pt>
                <c:pt idx="22">
                  <c:v>1</c:v>
                </c:pt>
                <c:pt idx="23">
                  <c:v>2</c:v>
                </c:pt>
                <c:pt idx="26">
                  <c:v>3</c:v>
                </c:pt>
                <c:pt idx="27">
                  <c:v>2</c:v>
                </c:pt>
              </c:numCache>
            </c:numRef>
          </c:val>
          <c:extLst>
            <c:ext xmlns:c16="http://schemas.microsoft.com/office/drawing/2014/chart" uri="{C3380CC4-5D6E-409C-BE32-E72D297353CC}">
              <c16:uniqueId val="{00000015-510C-4964-B4D9-6F5E5F8264F6}"/>
            </c:ext>
          </c:extLst>
        </c:ser>
        <c:ser>
          <c:idx val="6"/>
          <c:order val="6"/>
          <c:tx>
            <c:strRef>
              <c:f>Pivot_SLA!$H$3:$H$5</c:f>
              <c:strCache>
                <c:ptCount val="1"/>
                <c:pt idx="0">
                  <c:v>Jan-2026 - Total Repairs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Pivot_SLA!$H$6:$H$41</c:f>
              <c:numCache>
                <c:formatCode>General</c:formatCode>
                <c:ptCount val="28"/>
                <c:pt idx="0">
                  <c:v>1</c:v>
                </c:pt>
                <c:pt idx="3">
                  <c:v>3</c:v>
                </c:pt>
                <c:pt idx="4">
                  <c:v>1</c:v>
                </c:pt>
                <c:pt idx="5">
                  <c:v>1</c:v>
                </c:pt>
                <c:pt idx="6">
                  <c:v>4</c:v>
                </c:pt>
                <c:pt idx="7">
                  <c:v>3</c:v>
                </c:pt>
                <c:pt idx="8">
                  <c:v>3</c:v>
                </c:pt>
                <c:pt idx="9">
                  <c:v>3</c:v>
                </c:pt>
                <c:pt idx="10">
                  <c:v>3</c:v>
                </c:pt>
                <c:pt idx="11">
                  <c:v>4</c:v>
                </c:pt>
                <c:pt idx="12">
                  <c:v>2</c:v>
                </c:pt>
                <c:pt idx="13">
                  <c:v>1</c:v>
                </c:pt>
                <c:pt idx="15">
                  <c:v>1</c:v>
                </c:pt>
                <c:pt idx="16">
                  <c:v>2</c:v>
                </c:pt>
                <c:pt idx="18">
                  <c:v>2</c:v>
                </c:pt>
                <c:pt idx="19">
                  <c:v>4</c:v>
                </c:pt>
                <c:pt idx="20">
                  <c:v>4</c:v>
                </c:pt>
                <c:pt idx="21">
                  <c:v>1</c:v>
                </c:pt>
                <c:pt idx="22">
                  <c:v>1</c:v>
                </c:pt>
                <c:pt idx="23">
                  <c:v>2</c:v>
                </c:pt>
                <c:pt idx="25">
                  <c:v>1</c:v>
                </c:pt>
                <c:pt idx="26">
                  <c:v>2</c:v>
                </c:pt>
              </c:numCache>
            </c:numRef>
          </c:val>
          <c:extLst>
            <c:ext xmlns:c16="http://schemas.microsoft.com/office/drawing/2014/chart" uri="{C3380CC4-5D6E-409C-BE32-E72D297353CC}">
              <c16:uniqueId val="{00000016-510C-4964-B4D9-6F5E5F8264F6}"/>
            </c:ext>
          </c:extLst>
        </c:ser>
        <c:ser>
          <c:idx val="7"/>
          <c:order val="7"/>
          <c:tx>
            <c:strRef>
              <c:f>Pivot_SLA!$I$3:$I$5</c:f>
              <c:strCache>
                <c:ptCount val="1"/>
                <c:pt idx="0">
                  <c:v>Jan-2026 - Breaches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Pivot_SLA!$I$6:$I$41</c:f>
              <c:numCache>
                <c:formatCode>General</c:formatCode>
                <c:ptCount val="28"/>
                <c:pt idx="0">
                  <c:v>1</c:v>
                </c:pt>
                <c:pt idx="3">
                  <c:v>3</c:v>
                </c:pt>
                <c:pt idx="4">
                  <c:v>1</c:v>
                </c:pt>
                <c:pt idx="5">
                  <c:v>1</c:v>
                </c:pt>
                <c:pt idx="6">
                  <c:v>4</c:v>
                </c:pt>
                <c:pt idx="7">
                  <c:v>3</c:v>
                </c:pt>
                <c:pt idx="8">
                  <c:v>3</c:v>
                </c:pt>
                <c:pt idx="9">
                  <c:v>3</c:v>
                </c:pt>
                <c:pt idx="10">
                  <c:v>3</c:v>
                </c:pt>
                <c:pt idx="11">
                  <c:v>4</c:v>
                </c:pt>
                <c:pt idx="12">
                  <c:v>2</c:v>
                </c:pt>
                <c:pt idx="13">
                  <c:v>1</c:v>
                </c:pt>
                <c:pt idx="15">
                  <c:v>1</c:v>
                </c:pt>
                <c:pt idx="16">
                  <c:v>2</c:v>
                </c:pt>
                <c:pt idx="18">
                  <c:v>2</c:v>
                </c:pt>
                <c:pt idx="19">
                  <c:v>4</c:v>
                </c:pt>
                <c:pt idx="20">
                  <c:v>4</c:v>
                </c:pt>
                <c:pt idx="21">
                  <c:v>1</c:v>
                </c:pt>
                <c:pt idx="22">
                  <c:v>1</c:v>
                </c:pt>
                <c:pt idx="23">
                  <c:v>2</c:v>
                </c:pt>
                <c:pt idx="25">
                  <c:v>1</c:v>
                </c:pt>
                <c:pt idx="26">
                  <c:v>2</c:v>
                </c:pt>
              </c:numCache>
            </c:numRef>
          </c:val>
          <c:extLst>
            <c:ext xmlns:c16="http://schemas.microsoft.com/office/drawing/2014/chart" uri="{C3380CC4-5D6E-409C-BE32-E72D297353CC}">
              <c16:uniqueId val="{00000017-510C-4964-B4D9-6F5E5F8264F6}"/>
            </c:ext>
          </c:extLst>
        </c:ser>
        <c:ser>
          <c:idx val="8"/>
          <c:order val="8"/>
          <c:tx>
            <c:strRef>
              <c:f>Pivot_SLA!$J$3:$J$5</c:f>
              <c:strCache>
                <c:ptCount val="1"/>
                <c:pt idx="0">
                  <c:v>Mar-2026 - Total Repairs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Pivot_SLA!$J$6:$J$41</c:f>
              <c:numCache>
                <c:formatCode>General</c:formatCode>
                <c:ptCount val="28"/>
                <c:pt idx="0">
                  <c:v>10</c:v>
                </c:pt>
                <c:pt idx="1">
                  <c:v>7</c:v>
                </c:pt>
                <c:pt idx="2">
                  <c:v>7</c:v>
                </c:pt>
                <c:pt idx="3">
                  <c:v>7</c:v>
                </c:pt>
                <c:pt idx="4">
                  <c:v>11</c:v>
                </c:pt>
                <c:pt idx="5">
                  <c:v>6</c:v>
                </c:pt>
                <c:pt idx="6">
                  <c:v>3</c:v>
                </c:pt>
                <c:pt idx="7">
                  <c:v>4</c:v>
                </c:pt>
                <c:pt idx="8">
                  <c:v>2</c:v>
                </c:pt>
                <c:pt idx="9">
                  <c:v>6</c:v>
                </c:pt>
                <c:pt idx="10">
                  <c:v>6</c:v>
                </c:pt>
                <c:pt idx="11">
                  <c:v>11</c:v>
                </c:pt>
                <c:pt idx="12">
                  <c:v>8</c:v>
                </c:pt>
                <c:pt idx="13">
                  <c:v>6</c:v>
                </c:pt>
                <c:pt idx="14">
                  <c:v>5</c:v>
                </c:pt>
                <c:pt idx="15">
                  <c:v>2</c:v>
                </c:pt>
                <c:pt idx="16">
                  <c:v>7</c:v>
                </c:pt>
                <c:pt idx="17">
                  <c:v>4</c:v>
                </c:pt>
                <c:pt idx="18">
                  <c:v>1</c:v>
                </c:pt>
                <c:pt idx="19">
                  <c:v>8</c:v>
                </c:pt>
                <c:pt idx="20">
                  <c:v>5</c:v>
                </c:pt>
                <c:pt idx="21">
                  <c:v>5</c:v>
                </c:pt>
                <c:pt idx="22">
                  <c:v>4</c:v>
                </c:pt>
                <c:pt idx="23">
                  <c:v>7</c:v>
                </c:pt>
                <c:pt idx="24">
                  <c:v>6</c:v>
                </c:pt>
                <c:pt idx="25">
                  <c:v>5</c:v>
                </c:pt>
                <c:pt idx="26">
                  <c:v>7</c:v>
                </c:pt>
                <c:pt idx="27">
                  <c:v>3</c:v>
                </c:pt>
              </c:numCache>
            </c:numRef>
          </c:val>
          <c:extLst>
            <c:ext xmlns:c16="http://schemas.microsoft.com/office/drawing/2014/chart" uri="{C3380CC4-5D6E-409C-BE32-E72D297353CC}">
              <c16:uniqueId val="{00000018-510C-4964-B4D9-6F5E5F8264F6}"/>
            </c:ext>
          </c:extLst>
        </c:ser>
        <c:ser>
          <c:idx val="9"/>
          <c:order val="9"/>
          <c:tx>
            <c:strRef>
              <c:f>Pivot_SLA!$K$3:$K$5</c:f>
              <c:strCache>
                <c:ptCount val="1"/>
                <c:pt idx="0">
                  <c:v>Mar-2026 - Breaches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Pivot_SLA!$K$6:$K$41</c:f>
              <c:numCache>
                <c:formatCode>General</c:formatCode>
                <c:ptCount val="28"/>
                <c:pt idx="0">
                  <c:v>10</c:v>
                </c:pt>
                <c:pt idx="1">
                  <c:v>7</c:v>
                </c:pt>
                <c:pt idx="2">
                  <c:v>7</c:v>
                </c:pt>
                <c:pt idx="3">
                  <c:v>7</c:v>
                </c:pt>
                <c:pt idx="4">
                  <c:v>11</c:v>
                </c:pt>
                <c:pt idx="5">
                  <c:v>6</c:v>
                </c:pt>
                <c:pt idx="6">
                  <c:v>3</c:v>
                </c:pt>
                <c:pt idx="7">
                  <c:v>4</c:v>
                </c:pt>
                <c:pt idx="8">
                  <c:v>2</c:v>
                </c:pt>
                <c:pt idx="9">
                  <c:v>6</c:v>
                </c:pt>
                <c:pt idx="10">
                  <c:v>6</c:v>
                </c:pt>
                <c:pt idx="11">
                  <c:v>11</c:v>
                </c:pt>
                <c:pt idx="12">
                  <c:v>8</c:v>
                </c:pt>
                <c:pt idx="13">
                  <c:v>6</c:v>
                </c:pt>
                <c:pt idx="14">
                  <c:v>5</c:v>
                </c:pt>
                <c:pt idx="15">
                  <c:v>2</c:v>
                </c:pt>
                <c:pt idx="16">
                  <c:v>7</c:v>
                </c:pt>
                <c:pt idx="17">
                  <c:v>4</c:v>
                </c:pt>
                <c:pt idx="18">
                  <c:v>1</c:v>
                </c:pt>
                <c:pt idx="19">
                  <c:v>8</c:v>
                </c:pt>
                <c:pt idx="20">
                  <c:v>5</c:v>
                </c:pt>
                <c:pt idx="21">
                  <c:v>5</c:v>
                </c:pt>
                <c:pt idx="22">
                  <c:v>4</c:v>
                </c:pt>
                <c:pt idx="23">
                  <c:v>7</c:v>
                </c:pt>
                <c:pt idx="24">
                  <c:v>6</c:v>
                </c:pt>
                <c:pt idx="25">
                  <c:v>5</c:v>
                </c:pt>
                <c:pt idx="26">
                  <c:v>7</c:v>
                </c:pt>
                <c:pt idx="27">
                  <c:v>3</c:v>
                </c:pt>
              </c:numCache>
            </c:numRef>
          </c:val>
          <c:extLst>
            <c:ext xmlns:c16="http://schemas.microsoft.com/office/drawing/2014/chart" uri="{C3380CC4-5D6E-409C-BE32-E72D297353CC}">
              <c16:uniqueId val="{00000019-510C-4964-B4D9-6F5E5F8264F6}"/>
            </c:ext>
          </c:extLst>
        </c:ser>
        <c:ser>
          <c:idx val="10"/>
          <c:order val="10"/>
          <c:tx>
            <c:strRef>
              <c:f>Pivot_SLA!$L$3:$L$5</c:f>
              <c:strCache>
                <c:ptCount val="1"/>
                <c:pt idx="0">
                  <c:v>Nov-2025 - Total Repairs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Pivot_SLA!$L$6:$L$41</c:f>
              <c:numCache>
                <c:formatCode>General</c:formatCode>
                <c:ptCount val="28"/>
                <c:pt idx="0">
                  <c:v>2</c:v>
                </c:pt>
                <c:pt idx="1">
                  <c:v>1</c:v>
                </c:pt>
                <c:pt idx="3">
                  <c:v>1</c:v>
                </c:pt>
                <c:pt idx="5">
                  <c:v>1</c:v>
                </c:pt>
                <c:pt idx="11">
                  <c:v>2</c:v>
                </c:pt>
                <c:pt idx="12">
                  <c:v>1</c:v>
                </c:pt>
                <c:pt idx="15">
                  <c:v>1</c:v>
                </c:pt>
                <c:pt idx="17">
                  <c:v>1</c:v>
                </c:pt>
                <c:pt idx="19">
                  <c:v>2</c:v>
                </c:pt>
                <c:pt idx="21">
                  <c:v>2</c:v>
                </c:pt>
                <c:pt idx="22">
                  <c:v>2</c:v>
                </c:pt>
                <c:pt idx="23">
                  <c:v>1</c:v>
                </c:pt>
                <c:pt idx="25">
                  <c:v>1</c:v>
                </c:pt>
                <c:pt idx="26">
                  <c:v>3</c:v>
                </c:pt>
              </c:numCache>
            </c:numRef>
          </c:val>
          <c:extLst>
            <c:ext xmlns:c16="http://schemas.microsoft.com/office/drawing/2014/chart" uri="{C3380CC4-5D6E-409C-BE32-E72D297353CC}">
              <c16:uniqueId val="{0000001A-510C-4964-B4D9-6F5E5F8264F6}"/>
            </c:ext>
          </c:extLst>
        </c:ser>
        <c:ser>
          <c:idx val="11"/>
          <c:order val="11"/>
          <c:tx>
            <c:strRef>
              <c:f>Pivot_SLA!$M$3:$M$5</c:f>
              <c:strCache>
                <c:ptCount val="1"/>
                <c:pt idx="0">
                  <c:v>Nov-2025 - Breaches</c:v>
                </c:pt>
              </c:strCache>
            </c:strRef>
          </c:tx>
          <c:invertIfNegative val="0"/>
          <c:cat>
            <c:multiLvlStrRef>
              <c:f>Pivot_SLA!$A$6:$A$41</c:f>
              <c:multiLvlStrCache>
                <c:ptCount val="28"/>
                <c:lvl>
                  <c:pt idx="0">
                    <c:v>AMER</c:v>
                  </c:pt>
                  <c:pt idx="1">
                    <c:v>APAC</c:v>
                  </c:pt>
                  <c:pt idx="2">
                    <c:v>EMEA</c:v>
                  </c:pt>
                  <c:pt idx="3">
                    <c:v>LATAM</c:v>
                  </c:pt>
                  <c:pt idx="4">
                    <c:v>AMER</c:v>
                  </c:pt>
                  <c:pt idx="5">
                    <c:v>APAC</c:v>
                  </c:pt>
                  <c:pt idx="6">
                    <c:v>EMEA</c:v>
                  </c:pt>
                  <c:pt idx="7">
                    <c:v>LATAM</c:v>
                  </c:pt>
                  <c:pt idx="8">
                    <c:v>AMER</c:v>
                  </c:pt>
                  <c:pt idx="9">
                    <c:v>APAC</c:v>
                  </c:pt>
                  <c:pt idx="10">
                    <c:v>EMEA</c:v>
                  </c:pt>
                  <c:pt idx="11">
                    <c:v>LATAM</c:v>
                  </c:pt>
                  <c:pt idx="12">
                    <c:v>AMER</c:v>
                  </c:pt>
                  <c:pt idx="13">
                    <c:v>APAC</c:v>
                  </c:pt>
                  <c:pt idx="14">
                    <c:v>EMEA</c:v>
                  </c:pt>
                  <c:pt idx="15">
                    <c:v>LATAM</c:v>
                  </c:pt>
                  <c:pt idx="16">
                    <c:v>AMER</c:v>
                  </c:pt>
                  <c:pt idx="17">
                    <c:v>APAC</c:v>
                  </c:pt>
                  <c:pt idx="18">
                    <c:v>EMEA</c:v>
                  </c:pt>
                  <c:pt idx="19">
                    <c:v>LATAM</c:v>
                  </c:pt>
                  <c:pt idx="20">
                    <c:v>AMER</c:v>
                  </c:pt>
                  <c:pt idx="21">
                    <c:v>APAC</c:v>
                  </c:pt>
                  <c:pt idx="22">
                    <c:v>EMEA</c:v>
                  </c:pt>
                  <c:pt idx="23">
                    <c:v>LATAM</c:v>
                  </c:pt>
                  <c:pt idx="24">
                    <c:v>AMER</c:v>
                  </c:pt>
                  <c:pt idx="25">
                    <c:v>APAC</c:v>
                  </c:pt>
                  <c:pt idx="26">
                    <c:v>EMEA</c:v>
                  </c:pt>
                  <c:pt idx="27">
                    <c:v>LATAM</c:v>
                  </c:pt>
                </c:lvl>
                <c:lvl>
                  <c:pt idx="0">
                    <c:v>Apple Enterprise</c:v>
                  </c:pt>
                  <c:pt idx="4">
                    <c:v>Cisco Systems</c:v>
                  </c:pt>
                  <c:pt idx="8">
                    <c:v>Dell Global</c:v>
                  </c:pt>
                  <c:pt idx="12">
                    <c:v>Fujitsu</c:v>
                  </c:pt>
                  <c:pt idx="16">
                    <c:v>HP Inc</c:v>
                  </c:pt>
                  <c:pt idx="20">
                    <c:v>Lenovo Pro</c:v>
                  </c:pt>
                  <c:pt idx="24">
                    <c:v>Samsung IT</c:v>
                  </c:pt>
                </c:lvl>
              </c:multiLvlStrCache>
            </c:multiLvlStrRef>
          </c:cat>
          <c:val>
            <c:numRef>
              <c:f>Pivot_SLA!$M$6:$M$41</c:f>
              <c:numCache>
                <c:formatCode>General</c:formatCode>
                <c:ptCount val="28"/>
                <c:pt idx="0">
                  <c:v>2</c:v>
                </c:pt>
                <c:pt idx="1">
                  <c:v>1</c:v>
                </c:pt>
                <c:pt idx="3">
                  <c:v>1</c:v>
                </c:pt>
                <c:pt idx="5">
                  <c:v>1</c:v>
                </c:pt>
                <c:pt idx="11">
                  <c:v>2</c:v>
                </c:pt>
                <c:pt idx="12">
                  <c:v>1</c:v>
                </c:pt>
                <c:pt idx="15">
                  <c:v>1</c:v>
                </c:pt>
                <c:pt idx="17">
                  <c:v>1</c:v>
                </c:pt>
                <c:pt idx="19">
                  <c:v>2</c:v>
                </c:pt>
                <c:pt idx="21">
                  <c:v>2</c:v>
                </c:pt>
                <c:pt idx="22">
                  <c:v>2</c:v>
                </c:pt>
                <c:pt idx="23">
                  <c:v>1</c:v>
                </c:pt>
                <c:pt idx="25">
                  <c:v>1</c:v>
                </c:pt>
                <c:pt idx="26">
                  <c:v>3</c:v>
                </c:pt>
              </c:numCache>
            </c:numRef>
          </c:val>
          <c:extLst>
            <c:ext xmlns:c16="http://schemas.microsoft.com/office/drawing/2014/chart" uri="{C3380CC4-5D6E-409C-BE32-E72D297353CC}">
              <c16:uniqueId val="{0000001B-510C-4964-B4D9-6F5E5F8264F6}"/>
            </c:ext>
          </c:extLst>
        </c:ser>
        <c:dLbls>
          <c:showLegendKey val="0"/>
          <c:showVal val="0"/>
          <c:showCatName val="0"/>
          <c:showSerName val="0"/>
          <c:showPercent val="0"/>
          <c:showBubbleSize val="0"/>
        </c:dLbls>
        <c:gapWidth val="150"/>
        <c:axId val="432649168"/>
        <c:axId val="432655288"/>
      </c:barChart>
      <c:catAx>
        <c:axId val="432649168"/>
        <c:scaling>
          <c:orientation val="minMax"/>
        </c:scaling>
        <c:delete val="0"/>
        <c:axPos val="l"/>
        <c:numFmt formatCode="General" sourceLinked="1"/>
        <c:majorTickMark val="out"/>
        <c:minorTickMark val="none"/>
        <c:tickLblPos val="nextTo"/>
        <c:crossAx val="432655288"/>
        <c:crosses val="autoZero"/>
        <c:auto val="1"/>
        <c:lblAlgn val="ctr"/>
        <c:lblOffset val="100"/>
        <c:noMultiLvlLbl val="0"/>
      </c:catAx>
      <c:valAx>
        <c:axId val="432655288"/>
        <c:scaling>
          <c:orientation val="minMax"/>
        </c:scaling>
        <c:delete val="0"/>
        <c:axPos val="b"/>
        <c:majorGridlines/>
        <c:numFmt formatCode="General" sourceLinked="1"/>
        <c:majorTickMark val="out"/>
        <c:minorTickMark val="none"/>
        <c:tickLblPos val="nextTo"/>
        <c:crossAx val="43264916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11</xdr:row>
      <xdr:rowOff>117475</xdr:rowOff>
    </xdr:from>
    <xdr:to>
      <xdr:col>10</xdr:col>
      <xdr:colOff>381000</xdr:colOff>
      <xdr:row>28</xdr:row>
      <xdr:rowOff>180975</xdr:rowOff>
    </xdr:to>
    <xdr:graphicFrame macro="">
      <xdr:nvGraphicFramePr>
        <xdr:cNvPr id="2" name="Chart 1">
          <a:extLst>
            <a:ext uri="{FF2B5EF4-FFF2-40B4-BE49-F238E27FC236}">
              <a16:creationId xmlns:a16="http://schemas.microsoft.com/office/drawing/2014/main" id="{79D56843-7AA0-0B1D-11D2-8D56695B3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536575</xdr:colOff>
      <xdr:row>11</xdr:row>
      <xdr:rowOff>98425</xdr:rowOff>
    </xdr:from>
    <xdr:to>
      <xdr:col>20</xdr:col>
      <xdr:colOff>536575</xdr:colOff>
      <xdr:row>28</xdr:row>
      <xdr:rowOff>161925</xdr:rowOff>
    </xdr:to>
    <xdr:graphicFrame macro="">
      <xdr:nvGraphicFramePr>
        <xdr:cNvPr id="3" name="Chart 2">
          <a:extLst>
            <a:ext uri="{FF2B5EF4-FFF2-40B4-BE49-F238E27FC236}">
              <a16:creationId xmlns:a16="http://schemas.microsoft.com/office/drawing/2014/main" id="{6494C11E-E1F3-2876-9425-99A5F456E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30</xdr:row>
      <xdr:rowOff>53975</xdr:rowOff>
    </xdr:from>
    <xdr:to>
      <xdr:col>10</xdr:col>
      <xdr:colOff>381000</xdr:colOff>
      <xdr:row>44</xdr:row>
      <xdr:rowOff>180975</xdr:rowOff>
    </xdr:to>
    <xdr:graphicFrame macro="">
      <xdr:nvGraphicFramePr>
        <xdr:cNvPr id="4" name="Chart 3">
          <a:extLst>
            <a:ext uri="{FF2B5EF4-FFF2-40B4-BE49-F238E27FC236}">
              <a16:creationId xmlns:a16="http://schemas.microsoft.com/office/drawing/2014/main" id="{5FDE06D3-AD10-9C72-8863-8ED387CF3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177800</xdr:colOff>
      <xdr:row>30</xdr:row>
      <xdr:rowOff>127000</xdr:rowOff>
    </xdr:from>
    <xdr:to>
      <xdr:col>16</xdr:col>
      <xdr:colOff>254000</xdr:colOff>
      <xdr:row>44</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A26726C-6697-3DEF-D1FB-93A4C011E8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83400" y="6042025"/>
              <a:ext cx="1905000" cy="254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UYU, Bilga" refreshedDate="46127.546973263889" createdVersion="8" refreshedVersion="8" minRefreshableVersion="3" recordCount="380" xr:uid="{058F8989-29C1-46EB-87FF-ED420128E0D7}">
  <cacheSource type="worksheet">
    <worksheetSource ref="A1:J381" sheet="Repair_Log"/>
  </cacheSource>
  <cacheFields count="10">
    <cacheField name="Ticket_ID" numFmtId="0">
      <sharedItems/>
    </cacheField>
    <cacheField name="Asset_Tag" numFmtId="0">
      <sharedItems/>
    </cacheField>
    <cacheField name="Date_Reported" numFmtId="164">
      <sharedItems containsSemiMixedTypes="0" containsNonDate="0" containsDate="1" containsString="0" minDate="2025-11-17T00:00:00" maxDate="2026-04-11T00:00:00"/>
    </cacheField>
    <cacheField name="Date_Resolved" numFmtId="164">
      <sharedItems containsSemiMixedTypes="0" containsNonDate="0" containsDate="1" containsString="0" minDate="2025-11-20T00:00:00" maxDate="2026-04-13T00:00:00"/>
    </cacheField>
    <cacheField name="Vendor" numFmtId="0">
      <sharedItems count="7">
        <s v="Samsung IT"/>
        <s v="HP Inc"/>
        <s v="Lenovo Pro"/>
        <s v="Cisco Systems"/>
        <s v="Apple Enterprise"/>
        <s v="Dell Global"/>
        <s v="Fujitsu"/>
      </sharedItems>
    </cacheField>
    <cacheField name="Region" numFmtId="0">
      <sharedItems count="4">
        <s v="APAC"/>
        <s v="AMER"/>
        <s v="LATAM"/>
        <s v="EMEA"/>
      </sharedItems>
    </cacheField>
    <cacheField name="SLA_Days_Allowed" numFmtId="0">
      <sharedItems containsSemiMixedTypes="0" containsString="0" containsNumber="1" containsInteger="1" minValue="2" maxValue="2"/>
    </cacheField>
    <cacheField name="Actual_TAT" numFmtId="0">
      <sharedItems containsSemiMixedTypes="0" containsString="0" containsNumber="1" containsInteger="1" minValue="0" maxValue="5"/>
    </cacheField>
    <cacheField name="SLA_Breach" numFmtId="0">
      <sharedItems/>
    </cacheField>
    <cacheField name="Month" numFmtId="0">
      <sharedItems count="6">
        <s v="Dec-2025"/>
        <s v="Feb-2026"/>
        <s v="Jan-2026"/>
        <s v="Nov-2025"/>
        <s v="Mar-2026"/>
        <s v="Apr-2026"/>
      </sharedItems>
    </cacheField>
  </cacheFields>
  <extLst>
    <ext xmlns:x14="http://schemas.microsoft.com/office/spreadsheetml/2009/9/main" uri="{725AE2AE-9491-48be-B2B4-4EB974FC3084}">
      <x14:pivotCacheDefinition pivotCacheId="906972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UYU, Bilga" refreshedDate="46127.546976273145" createdVersion="8" refreshedVersion="8" minRefreshableVersion="3" recordCount="520" xr:uid="{CBB69B02-FF91-47F6-B71E-DA851788D824}">
  <cacheSource type="worksheet">
    <worksheetSource ref="A1:K521" sheet="Assets_Master"/>
  </cacheSource>
  <cacheFields count="11">
    <cacheField name="Asset_Tag" numFmtId="0">
      <sharedItems/>
    </cacheField>
    <cacheField name="Device_Type" numFmtId="0">
      <sharedItems/>
    </cacheField>
    <cacheField name="Model" numFmtId="0">
      <sharedItems/>
    </cacheField>
    <cacheField name="Serial_Number" numFmtId="0">
      <sharedItems/>
    </cacheField>
    <cacheField name="Vendor_Name" numFmtId="0">
      <sharedItems count="7">
        <s v="Samsung IT"/>
        <s v="Apple Enterprise"/>
        <s v="Dell Global"/>
        <s v="Lenovo Pro"/>
        <s v="Cisco Systems"/>
        <s v="HP Inc"/>
        <s v="Fujitsu"/>
      </sharedItems>
    </cacheField>
    <cacheField name="Contract_ID" numFmtId="0">
      <sharedItems/>
    </cacheField>
    <cacheField name="Start_Date" numFmtId="164">
      <sharedItems containsSemiMixedTypes="0" containsNonDate="0" containsDate="1" containsString="0" minDate="2023-03-18T00:00:00" maxDate="2026-03-15T00:00:00"/>
    </cacheField>
    <cacheField name="End_Date" numFmtId="164">
      <sharedItems containsSemiMixedTypes="0" containsNonDate="0" containsDate="1" containsString="0" minDate="2024-03-18T00:00:00" maxDate="2029-03-15T00:00:00"/>
    </cacheField>
    <cacheField name="Annual_Cost" numFmtId="165">
      <sharedItems containsSemiMixedTypes="0" containsString="0" containsNumber="1" minValue="409.89" maxValue="11450.95"/>
    </cacheField>
    <cacheField name="Region" numFmtId="0">
      <sharedItems count="4">
        <s v="AMER"/>
        <s v="APAC"/>
        <s v="LATAM"/>
        <s v="EMEA"/>
      </sharedItems>
    </cacheField>
    <cacheField name="SLA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0">
  <r>
    <s v="TKT-2026-0001"/>
    <s v="Lapt-APA-0310"/>
    <d v="2025-12-29T00:00:00"/>
    <d v="2025-12-31T00:00:00"/>
    <x v="0"/>
    <x v="0"/>
    <n v="2"/>
    <n v="3"/>
    <s v="YES"/>
    <x v="0"/>
  </r>
  <r>
    <s v="TKT-2026-0002"/>
    <s v="Desk-APA-0345"/>
    <d v="2025-12-05T00:00:00"/>
    <d v="2025-12-10T00:00:00"/>
    <x v="1"/>
    <x v="0"/>
    <n v="2"/>
    <n v="4"/>
    <s v="YES"/>
    <x v="0"/>
  </r>
  <r>
    <s v="TKT-2026-0003"/>
    <s v="Netw-AME-0485"/>
    <d v="2026-02-11T00:00:00"/>
    <d v="2026-02-14T00:00:00"/>
    <x v="2"/>
    <x v="1"/>
    <n v="2"/>
    <n v="3"/>
    <s v="YES"/>
    <x v="1"/>
  </r>
  <r>
    <s v="TKT-2026-0004"/>
    <s v="Netw-LAT-0166"/>
    <d v="2025-12-04T00:00:00"/>
    <d v="2025-12-09T00:00:00"/>
    <x v="1"/>
    <x v="2"/>
    <n v="2"/>
    <n v="4"/>
    <s v="YES"/>
    <x v="0"/>
  </r>
  <r>
    <s v="TKT-2026-0005"/>
    <s v="Netw-LAT-0447"/>
    <d v="2026-01-13T00:00:00"/>
    <d v="2026-01-16T00:00:00"/>
    <x v="3"/>
    <x v="2"/>
    <n v="2"/>
    <n v="4"/>
    <s v="YES"/>
    <x v="2"/>
  </r>
  <r>
    <s v="TKT-2026-0006"/>
    <s v="Netw-AME-0373"/>
    <d v="2025-11-20T00:00:00"/>
    <d v="2025-11-22T00:00:00"/>
    <x v="4"/>
    <x v="1"/>
    <n v="2"/>
    <n v="2"/>
    <s v="NO"/>
    <x v="3"/>
  </r>
  <r>
    <s v="TKT-2026-0007"/>
    <s v="Netw-EME-0293"/>
    <d v="2025-12-29T00:00:00"/>
    <d v="2026-01-02T00:00:00"/>
    <x v="2"/>
    <x v="3"/>
    <n v="2"/>
    <n v="5"/>
    <s v="YES"/>
    <x v="0"/>
  </r>
  <r>
    <s v="TKT-2026-0008"/>
    <s v="Lapt-LAT-0312"/>
    <d v="2026-01-27T00:00:00"/>
    <d v="2026-01-31T00:00:00"/>
    <x v="5"/>
    <x v="2"/>
    <n v="2"/>
    <n v="4"/>
    <s v="YES"/>
    <x v="2"/>
  </r>
  <r>
    <s v="TKT-2026-0009"/>
    <s v="Prin-EME-0488"/>
    <d v="2025-11-19T00:00:00"/>
    <d v="2025-11-24T00:00:00"/>
    <x v="2"/>
    <x v="3"/>
    <n v="2"/>
    <n v="4"/>
    <s v="YES"/>
    <x v="3"/>
  </r>
  <r>
    <s v="TKT-2026-0010"/>
    <s v="Mobi-APA-0394"/>
    <d v="2026-02-01T00:00:00"/>
    <d v="2026-02-04T00:00:00"/>
    <x v="6"/>
    <x v="0"/>
    <n v="2"/>
    <n v="3"/>
    <s v="YES"/>
    <x v="1"/>
  </r>
  <r>
    <s v="TKT-2026-0011"/>
    <s v="Serv-APA-0155"/>
    <d v="2026-02-14T00:00:00"/>
    <d v="2026-02-19T00:00:00"/>
    <x v="4"/>
    <x v="0"/>
    <n v="2"/>
    <n v="4"/>
    <s v="YES"/>
    <x v="1"/>
  </r>
  <r>
    <s v="TKT-2026-0012"/>
    <s v="Prin-AME-0272"/>
    <d v="2026-02-03T00:00:00"/>
    <d v="2026-02-07T00:00:00"/>
    <x v="2"/>
    <x v="1"/>
    <n v="2"/>
    <n v="4"/>
    <s v="YES"/>
    <x v="1"/>
  </r>
  <r>
    <s v="TKT-2026-0013"/>
    <s v="Serv-AME-0006"/>
    <d v="2026-01-21T00:00:00"/>
    <d v="2026-01-23T00:00:00"/>
    <x v="2"/>
    <x v="1"/>
    <n v="2"/>
    <n v="3"/>
    <s v="YES"/>
    <x v="2"/>
  </r>
  <r>
    <s v="TKT-2026-0014"/>
    <s v="Lapt-LAT-0422"/>
    <d v="2026-01-01T00:00:00"/>
    <d v="2026-01-05T00:00:00"/>
    <x v="5"/>
    <x v="2"/>
    <n v="2"/>
    <n v="3"/>
    <s v="YES"/>
    <x v="2"/>
  </r>
  <r>
    <s v="TKT-2026-0015"/>
    <s v="Serv-AME-0227"/>
    <d v="2025-12-29T00:00:00"/>
    <d v="2025-12-31T00:00:00"/>
    <x v="1"/>
    <x v="1"/>
    <n v="2"/>
    <n v="3"/>
    <s v="YES"/>
    <x v="0"/>
  </r>
  <r>
    <s v="TKT-2026-0016"/>
    <s v="Serv-APA-0256"/>
    <d v="2026-02-09T00:00:00"/>
    <d v="2026-02-11T00:00:00"/>
    <x v="1"/>
    <x v="0"/>
    <n v="2"/>
    <n v="3"/>
    <s v="YES"/>
    <x v="1"/>
  </r>
  <r>
    <s v="TKT-2026-0017"/>
    <s v="Prin-LAT-0380"/>
    <d v="2025-12-12T00:00:00"/>
    <d v="2025-12-17T00:00:00"/>
    <x v="6"/>
    <x v="2"/>
    <n v="2"/>
    <n v="4"/>
    <s v="YES"/>
    <x v="0"/>
  </r>
  <r>
    <s v="TKT-2026-0018"/>
    <s v="Serv-AME-0006"/>
    <d v="2025-12-09T00:00:00"/>
    <d v="2025-12-11T00:00:00"/>
    <x v="2"/>
    <x v="1"/>
    <n v="2"/>
    <n v="3"/>
    <s v="YES"/>
    <x v="0"/>
  </r>
  <r>
    <s v="TKT-2026-0019"/>
    <s v="Lapt-AME-0204"/>
    <d v="2025-12-05T00:00:00"/>
    <d v="2025-12-09T00:00:00"/>
    <x v="5"/>
    <x v="1"/>
    <n v="2"/>
    <n v="3"/>
    <s v="YES"/>
    <x v="0"/>
  </r>
  <r>
    <s v="TKT-2026-0020"/>
    <s v="Mobi-APA-0265"/>
    <d v="2025-12-16T00:00:00"/>
    <d v="2025-12-21T00:00:00"/>
    <x v="0"/>
    <x v="0"/>
    <n v="2"/>
    <n v="4"/>
    <s v="YES"/>
    <x v="0"/>
  </r>
  <r>
    <s v="TKT-2026-0021"/>
    <s v="Lapt-LAT-0307"/>
    <d v="2026-01-21T00:00:00"/>
    <d v="2026-01-24T00:00:00"/>
    <x v="3"/>
    <x v="2"/>
    <n v="2"/>
    <n v="3"/>
    <s v="YES"/>
    <x v="2"/>
  </r>
  <r>
    <s v="TKT-2026-0022"/>
    <s v="Netw-AME-0467"/>
    <d v="2026-01-01T00:00:00"/>
    <d v="2026-01-04T00:00:00"/>
    <x v="5"/>
    <x v="1"/>
    <n v="2"/>
    <n v="2"/>
    <s v="NO"/>
    <x v="2"/>
  </r>
  <r>
    <s v="TKT-2026-0023"/>
    <s v="Lapt-LAT-0362"/>
    <d v="2026-02-01T00:00:00"/>
    <d v="2026-02-05T00:00:00"/>
    <x v="0"/>
    <x v="2"/>
    <n v="2"/>
    <n v="4"/>
    <s v="YES"/>
    <x v="1"/>
  </r>
  <r>
    <s v="TKT-2026-0024"/>
    <s v="Lapt-LAT-0312"/>
    <d v="2025-12-23T00:00:00"/>
    <d v="2025-12-26T00:00:00"/>
    <x v="5"/>
    <x v="2"/>
    <n v="2"/>
    <n v="4"/>
    <s v="YES"/>
    <x v="0"/>
  </r>
  <r>
    <s v="TKT-2026-0025"/>
    <s v="Lapt-APA-0274"/>
    <d v="2025-12-24T00:00:00"/>
    <d v="2025-12-29T00:00:00"/>
    <x v="2"/>
    <x v="0"/>
    <n v="2"/>
    <n v="4"/>
    <s v="YES"/>
    <x v="0"/>
  </r>
  <r>
    <s v="TKT-2026-0026"/>
    <s v="Lapt-EME-0498"/>
    <d v="2026-01-05T00:00:00"/>
    <d v="2026-01-10T00:00:00"/>
    <x v="3"/>
    <x v="3"/>
    <n v="2"/>
    <n v="5"/>
    <s v="YES"/>
    <x v="2"/>
  </r>
  <r>
    <s v="TKT-2026-0027"/>
    <s v="Desk-APA-0116"/>
    <d v="2025-11-26T00:00:00"/>
    <d v="2025-11-28T00:00:00"/>
    <x v="2"/>
    <x v="0"/>
    <n v="2"/>
    <n v="3"/>
    <s v="YES"/>
    <x v="3"/>
  </r>
  <r>
    <s v="TKT-2026-0028"/>
    <s v="Prin-AME-0249"/>
    <d v="2026-01-13T00:00:00"/>
    <d v="2026-01-17T00:00:00"/>
    <x v="4"/>
    <x v="1"/>
    <n v="2"/>
    <n v="4"/>
    <s v="YES"/>
    <x v="2"/>
  </r>
  <r>
    <s v="TKT-2026-0029"/>
    <s v="Prin-LAT-0408"/>
    <d v="2026-01-15T00:00:00"/>
    <d v="2026-01-20T00:00:00"/>
    <x v="4"/>
    <x v="2"/>
    <n v="2"/>
    <n v="4"/>
    <s v="YES"/>
    <x v="2"/>
  </r>
  <r>
    <s v="TKT-2026-0030"/>
    <s v="Netw-APA-0223"/>
    <d v="2026-02-04T00:00:00"/>
    <d v="2026-02-07T00:00:00"/>
    <x v="6"/>
    <x v="0"/>
    <n v="2"/>
    <n v="3"/>
    <s v="YES"/>
    <x v="1"/>
  </r>
  <r>
    <s v="TKT-2026-0031"/>
    <s v="Mobi-APA-0351"/>
    <d v="2025-11-28T00:00:00"/>
    <d v="2025-12-03T00:00:00"/>
    <x v="2"/>
    <x v="0"/>
    <n v="2"/>
    <n v="4"/>
    <s v="YES"/>
    <x v="3"/>
  </r>
  <r>
    <s v="TKT-2026-0032"/>
    <s v="Serv-APA-0247"/>
    <d v="2025-12-17T00:00:00"/>
    <d v="2025-12-21T00:00:00"/>
    <x v="2"/>
    <x v="0"/>
    <n v="2"/>
    <n v="3"/>
    <s v="YES"/>
    <x v="0"/>
  </r>
  <r>
    <s v="TKT-2026-0033"/>
    <s v="Serv-LAT-0012"/>
    <d v="2025-11-17T00:00:00"/>
    <d v="2025-11-20T00:00:00"/>
    <x v="4"/>
    <x v="2"/>
    <n v="2"/>
    <n v="4"/>
    <s v="YES"/>
    <x v="3"/>
  </r>
  <r>
    <s v="TKT-2026-0034"/>
    <s v="Lapt-APA-0177"/>
    <d v="2025-12-26T00:00:00"/>
    <d v="2025-12-28T00:00:00"/>
    <x v="5"/>
    <x v="0"/>
    <n v="2"/>
    <n v="1"/>
    <s v="NO"/>
    <x v="0"/>
  </r>
  <r>
    <s v="TKT-2026-0035"/>
    <s v="Netw-LAT-0166"/>
    <d v="2026-01-27T00:00:00"/>
    <d v="2026-02-01T00:00:00"/>
    <x v="1"/>
    <x v="2"/>
    <n v="2"/>
    <n v="4"/>
    <s v="YES"/>
    <x v="2"/>
  </r>
  <r>
    <s v="TKT-2026-0036"/>
    <s v="Netw-EME-0366"/>
    <d v="2025-11-30T00:00:00"/>
    <d v="2025-12-02T00:00:00"/>
    <x v="0"/>
    <x v="3"/>
    <n v="2"/>
    <n v="2"/>
    <s v="NO"/>
    <x v="3"/>
  </r>
  <r>
    <s v="TKT-2026-0037"/>
    <s v="Netw-APA-0350"/>
    <d v="2025-12-13T00:00:00"/>
    <d v="2025-12-15T00:00:00"/>
    <x v="2"/>
    <x v="0"/>
    <n v="2"/>
    <n v="1"/>
    <s v="NO"/>
    <x v="0"/>
  </r>
  <r>
    <s v="TKT-2026-0038"/>
    <s v="Netw-APA-0421"/>
    <d v="2025-12-19T00:00:00"/>
    <d v="2025-12-22T00:00:00"/>
    <x v="5"/>
    <x v="0"/>
    <n v="2"/>
    <n v="2"/>
    <s v="NO"/>
    <x v="0"/>
  </r>
  <r>
    <s v="TKT-2026-0039"/>
    <s v="Lapt-LAT-0505"/>
    <d v="2026-01-09T00:00:00"/>
    <d v="2026-01-13T00:00:00"/>
    <x v="2"/>
    <x v="2"/>
    <n v="2"/>
    <n v="3"/>
    <s v="YES"/>
    <x v="2"/>
  </r>
  <r>
    <s v="TKT-2026-0040"/>
    <s v="Lapt-AME-0255"/>
    <d v="2025-12-20T00:00:00"/>
    <d v="2025-12-22T00:00:00"/>
    <x v="0"/>
    <x v="1"/>
    <n v="2"/>
    <n v="1"/>
    <s v="NO"/>
    <x v="0"/>
  </r>
  <r>
    <s v="TKT-2026-0041"/>
    <s v="Desk-LAT-0287"/>
    <d v="2026-01-05T00:00:00"/>
    <d v="2026-01-08T00:00:00"/>
    <x v="5"/>
    <x v="2"/>
    <n v="2"/>
    <n v="4"/>
    <s v="YES"/>
    <x v="2"/>
  </r>
  <r>
    <s v="TKT-2026-0042"/>
    <s v="Desk-LAT-0311"/>
    <d v="2026-01-23T00:00:00"/>
    <d v="2026-01-26T00:00:00"/>
    <x v="1"/>
    <x v="2"/>
    <n v="2"/>
    <n v="2"/>
    <s v="NO"/>
    <x v="2"/>
  </r>
  <r>
    <s v="TKT-2026-0043"/>
    <s v="Desk-APA-0116"/>
    <d v="2025-12-21T00:00:00"/>
    <d v="2025-12-26T00:00:00"/>
    <x v="2"/>
    <x v="0"/>
    <n v="2"/>
    <n v="5"/>
    <s v="YES"/>
    <x v="0"/>
  </r>
  <r>
    <s v="TKT-2026-0044"/>
    <s v="Desk-APA-0020"/>
    <d v="2026-02-07T00:00:00"/>
    <d v="2026-02-09T00:00:00"/>
    <x v="3"/>
    <x v="0"/>
    <n v="2"/>
    <n v="1"/>
    <s v="NO"/>
    <x v="1"/>
  </r>
  <r>
    <s v="TKT-2026-0045"/>
    <s v="Desk-AME-0375"/>
    <d v="2026-01-02T00:00:00"/>
    <d v="2026-01-06T00:00:00"/>
    <x v="3"/>
    <x v="1"/>
    <n v="2"/>
    <n v="3"/>
    <s v="YES"/>
    <x v="2"/>
  </r>
  <r>
    <s v="TKT-2026-0046"/>
    <s v="Desk-EME-0466"/>
    <d v="2026-02-14T00:00:00"/>
    <d v="2026-02-19T00:00:00"/>
    <x v="0"/>
    <x v="3"/>
    <n v="2"/>
    <n v="4"/>
    <s v="YES"/>
    <x v="1"/>
  </r>
  <r>
    <s v="TKT-2026-0047"/>
    <s v="Lapt-LAT-0491"/>
    <d v="2026-01-30T00:00:00"/>
    <d v="2026-02-03T00:00:00"/>
    <x v="1"/>
    <x v="2"/>
    <n v="2"/>
    <n v="3"/>
    <s v="YES"/>
    <x v="2"/>
  </r>
  <r>
    <s v="TKT-2026-0048"/>
    <s v="Lapt-AME-0184"/>
    <d v="2025-11-27T00:00:00"/>
    <d v="2025-11-30T00:00:00"/>
    <x v="6"/>
    <x v="1"/>
    <n v="2"/>
    <n v="2"/>
    <s v="NO"/>
    <x v="3"/>
  </r>
  <r>
    <s v="TKT-2026-0049"/>
    <s v="Lapt-LAT-0307"/>
    <d v="2026-02-14T00:00:00"/>
    <d v="2026-02-17T00:00:00"/>
    <x v="3"/>
    <x v="2"/>
    <n v="2"/>
    <n v="2"/>
    <s v="NO"/>
    <x v="1"/>
  </r>
  <r>
    <s v="TKT-2026-0050"/>
    <s v="Mobi-LAT-0197"/>
    <d v="2026-02-08T00:00:00"/>
    <d v="2026-02-13T00:00:00"/>
    <x v="2"/>
    <x v="2"/>
    <n v="2"/>
    <n v="5"/>
    <s v="YES"/>
    <x v="1"/>
  </r>
  <r>
    <s v="TKT-2026-0051"/>
    <s v="Desk-LAT-0517"/>
    <d v="2026-01-06T00:00:00"/>
    <d v="2026-01-09T00:00:00"/>
    <x v="3"/>
    <x v="2"/>
    <n v="2"/>
    <n v="4"/>
    <s v="YES"/>
    <x v="2"/>
  </r>
  <r>
    <s v="TKT-2026-0052"/>
    <s v="Mobi-EME-0215"/>
    <d v="2025-12-06T00:00:00"/>
    <d v="2025-12-08T00:00:00"/>
    <x v="4"/>
    <x v="3"/>
    <n v="2"/>
    <n v="1"/>
    <s v="NO"/>
    <x v="0"/>
  </r>
  <r>
    <s v="TKT-2026-0053"/>
    <s v="Mobi-LAT-0150"/>
    <d v="2026-02-06T00:00:00"/>
    <d v="2026-02-08T00:00:00"/>
    <x v="2"/>
    <x v="2"/>
    <n v="2"/>
    <n v="1"/>
    <s v="NO"/>
    <x v="1"/>
  </r>
  <r>
    <s v="TKT-2026-0054"/>
    <s v="Prin-EME-0260"/>
    <d v="2026-01-21T00:00:00"/>
    <d v="2026-01-24T00:00:00"/>
    <x v="2"/>
    <x v="3"/>
    <n v="2"/>
    <n v="3"/>
    <s v="YES"/>
    <x v="2"/>
  </r>
  <r>
    <s v="TKT-2026-0055"/>
    <s v="Lapt-APA-0117"/>
    <d v="2025-12-05T00:00:00"/>
    <d v="2025-12-10T00:00:00"/>
    <x v="5"/>
    <x v="0"/>
    <n v="2"/>
    <n v="4"/>
    <s v="YES"/>
    <x v="0"/>
  </r>
  <r>
    <s v="TKT-2026-0056"/>
    <s v="Netw-AME-0309"/>
    <d v="2026-01-15T00:00:00"/>
    <d v="2026-01-20T00:00:00"/>
    <x v="2"/>
    <x v="1"/>
    <n v="2"/>
    <n v="4"/>
    <s v="YES"/>
    <x v="2"/>
  </r>
  <r>
    <s v="TKT-2026-0057"/>
    <s v="Desk-LAT-0134"/>
    <d v="2025-12-02T00:00:00"/>
    <d v="2025-12-07T00:00:00"/>
    <x v="3"/>
    <x v="2"/>
    <n v="2"/>
    <n v="4"/>
    <s v="YES"/>
    <x v="0"/>
  </r>
  <r>
    <s v="TKT-2026-0058"/>
    <s v="Netw-AME-0017"/>
    <d v="2026-01-03T00:00:00"/>
    <d v="2026-01-05T00:00:00"/>
    <x v="5"/>
    <x v="1"/>
    <n v="2"/>
    <n v="1"/>
    <s v="NO"/>
    <x v="2"/>
  </r>
  <r>
    <s v="TKT-2026-0059"/>
    <s v="Netw-EME-0366"/>
    <d v="2025-11-20T00:00:00"/>
    <d v="2025-11-23T00:00:00"/>
    <x v="0"/>
    <x v="3"/>
    <n v="2"/>
    <n v="2"/>
    <s v="NO"/>
    <x v="3"/>
  </r>
  <r>
    <s v="TKT-2026-0060"/>
    <s v="Serv-EME-0176"/>
    <d v="2025-11-25T00:00:00"/>
    <d v="2025-11-29T00:00:00"/>
    <x v="2"/>
    <x v="3"/>
    <n v="2"/>
    <n v="4"/>
    <s v="YES"/>
    <x v="3"/>
  </r>
  <r>
    <s v="TKT-2026-0061"/>
    <s v="Mobi-AME-0065"/>
    <d v="2025-12-06T00:00:00"/>
    <d v="2025-12-08T00:00:00"/>
    <x v="1"/>
    <x v="1"/>
    <n v="2"/>
    <n v="1"/>
    <s v="NO"/>
    <x v="0"/>
  </r>
  <r>
    <s v="TKT-2026-0062"/>
    <s v="Prin-AME-0458"/>
    <d v="2026-01-31T00:00:00"/>
    <d v="2026-02-02T00:00:00"/>
    <x v="1"/>
    <x v="1"/>
    <n v="2"/>
    <n v="1"/>
    <s v="NO"/>
    <x v="2"/>
  </r>
  <r>
    <s v="TKT-2026-0063"/>
    <s v="Netw-LAT-0108"/>
    <d v="2025-12-26T00:00:00"/>
    <d v="2025-12-28T00:00:00"/>
    <x v="1"/>
    <x v="2"/>
    <n v="2"/>
    <n v="1"/>
    <s v="NO"/>
    <x v="0"/>
  </r>
  <r>
    <s v="TKT-2026-0064"/>
    <s v="Mobi-LAT-0039"/>
    <d v="2025-11-26T00:00:00"/>
    <d v="2025-12-01T00:00:00"/>
    <x v="5"/>
    <x v="2"/>
    <n v="2"/>
    <n v="4"/>
    <s v="YES"/>
    <x v="3"/>
  </r>
  <r>
    <s v="TKT-2026-0065"/>
    <s v="Desk-APA-0420"/>
    <d v="2025-12-19T00:00:00"/>
    <d v="2025-12-23T00:00:00"/>
    <x v="3"/>
    <x v="0"/>
    <n v="2"/>
    <n v="3"/>
    <s v="YES"/>
    <x v="0"/>
  </r>
  <r>
    <s v="TKT-2026-0066"/>
    <s v="Desk-EME-0057"/>
    <d v="2026-01-18T00:00:00"/>
    <d v="2026-01-23T00:00:00"/>
    <x v="0"/>
    <x v="3"/>
    <n v="2"/>
    <n v="5"/>
    <s v="YES"/>
    <x v="2"/>
  </r>
  <r>
    <s v="TKT-2026-0067"/>
    <s v="Lapt-LAT-0491"/>
    <d v="2025-11-25T00:00:00"/>
    <d v="2025-11-27T00:00:00"/>
    <x v="1"/>
    <x v="2"/>
    <n v="2"/>
    <n v="3"/>
    <s v="YES"/>
    <x v="3"/>
  </r>
  <r>
    <s v="TKT-2026-0068"/>
    <s v="Mobi-APA-0208"/>
    <d v="2026-01-27T00:00:00"/>
    <d v="2026-02-01T00:00:00"/>
    <x v="6"/>
    <x v="0"/>
    <n v="2"/>
    <n v="4"/>
    <s v="YES"/>
    <x v="2"/>
  </r>
  <r>
    <s v="TKT-2026-0069"/>
    <s v="Serv-APA-0453"/>
    <d v="2026-02-02T00:00:00"/>
    <d v="2026-02-06T00:00:00"/>
    <x v="2"/>
    <x v="0"/>
    <n v="2"/>
    <n v="5"/>
    <s v="YES"/>
    <x v="1"/>
  </r>
  <r>
    <s v="TKT-2026-0070"/>
    <s v="Desk-LAT-0134"/>
    <d v="2025-12-31T00:00:00"/>
    <d v="2026-01-02T00:00:00"/>
    <x v="3"/>
    <x v="2"/>
    <n v="2"/>
    <n v="3"/>
    <s v="YES"/>
    <x v="0"/>
  </r>
  <r>
    <s v="TKT-2026-0071"/>
    <s v="Prin-LAT-0286"/>
    <d v="2026-02-12T00:00:00"/>
    <d v="2026-02-16T00:00:00"/>
    <x v="6"/>
    <x v="2"/>
    <n v="2"/>
    <n v="3"/>
    <s v="YES"/>
    <x v="1"/>
  </r>
  <r>
    <s v="TKT-2026-0072"/>
    <s v="Netw-APA-0253"/>
    <d v="2025-11-17T00:00:00"/>
    <d v="2025-11-22T00:00:00"/>
    <x v="1"/>
    <x v="0"/>
    <n v="2"/>
    <n v="5"/>
    <s v="YES"/>
    <x v="3"/>
  </r>
  <r>
    <s v="TKT-2026-0073"/>
    <s v="Desk-EME-0072"/>
    <d v="2026-01-23T00:00:00"/>
    <d v="2026-01-26T00:00:00"/>
    <x v="3"/>
    <x v="3"/>
    <n v="2"/>
    <n v="2"/>
    <s v="NO"/>
    <x v="2"/>
  </r>
  <r>
    <s v="TKT-2026-0074"/>
    <s v="Lapt-AME-0451"/>
    <d v="2026-01-18T00:00:00"/>
    <d v="2026-01-22T00:00:00"/>
    <x v="6"/>
    <x v="1"/>
    <n v="2"/>
    <n v="4"/>
    <s v="YES"/>
    <x v="2"/>
  </r>
  <r>
    <s v="TKT-2026-0075"/>
    <s v="Mobi-LAT-0165"/>
    <d v="2025-11-19T00:00:00"/>
    <d v="2025-11-24T00:00:00"/>
    <x v="5"/>
    <x v="2"/>
    <n v="2"/>
    <n v="4"/>
    <s v="YES"/>
    <x v="3"/>
  </r>
  <r>
    <s v="TKT-2026-0076"/>
    <s v="Desk-EME-0397"/>
    <d v="2025-12-16T00:00:00"/>
    <d v="2025-12-18T00:00:00"/>
    <x v="6"/>
    <x v="3"/>
    <n v="2"/>
    <n v="3"/>
    <s v="YES"/>
    <x v="0"/>
  </r>
  <r>
    <s v="TKT-2026-0077"/>
    <s v="Desk-AME-0289"/>
    <d v="2025-12-26T00:00:00"/>
    <d v="2025-12-29T00:00:00"/>
    <x v="4"/>
    <x v="1"/>
    <n v="2"/>
    <n v="2"/>
    <s v="NO"/>
    <x v="0"/>
  </r>
  <r>
    <s v="TKT-2026-0078"/>
    <s v="Serv-APA-0155"/>
    <d v="2025-12-03T00:00:00"/>
    <d v="2025-12-06T00:00:00"/>
    <x v="4"/>
    <x v="0"/>
    <n v="2"/>
    <n v="3"/>
    <s v="YES"/>
    <x v="0"/>
  </r>
  <r>
    <s v="TKT-2026-0079"/>
    <s v="Lapt-AME-0353"/>
    <d v="2026-01-10T00:00:00"/>
    <d v="2026-01-15T00:00:00"/>
    <x v="1"/>
    <x v="1"/>
    <n v="2"/>
    <n v="4"/>
    <s v="YES"/>
    <x v="2"/>
  </r>
  <r>
    <s v="TKT-2026-0080"/>
    <s v="Serv-EME-0438"/>
    <d v="2026-02-07T00:00:00"/>
    <d v="2026-02-11T00:00:00"/>
    <x v="0"/>
    <x v="3"/>
    <n v="2"/>
    <n v="3"/>
    <s v="YES"/>
    <x v="1"/>
  </r>
  <r>
    <s v="TKT-2026-0081"/>
    <s v="Lapt-AME-0152"/>
    <d v="2026-02-12T00:00:00"/>
    <d v="2026-02-17T00:00:00"/>
    <x v="6"/>
    <x v="1"/>
    <n v="2"/>
    <n v="4"/>
    <s v="YES"/>
    <x v="1"/>
  </r>
  <r>
    <s v="TKT-2026-0082"/>
    <s v="Desk-EME-0397"/>
    <d v="2025-12-23T00:00:00"/>
    <d v="2025-12-26T00:00:00"/>
    <x v="6"/>
    <x v="3"/>
    <n v="2"/>
    <n v="4"/>
    <s v="YES"/>
    <x v="0"/>
  </r>
  <r>
    <s v="TKT-2026-0083"/>
    <s v="Lapt-LAT-0492"/>
    <d v="2026-01-20T00:00:00"/>
    <d v="2026-01-25T00:00:00"/>
    <x v="4"/>
    <x v="2"/>
    <n v="2"/>
    <n v="4"/>
    <s v="YES"/>
    <x v="2"/>
  </r>
  <r>
    <s v="TKT-2026-0084"/>
    <s v="Mobi-APA-0351"/>
    <d v="2026-02-08T00:00:00"/>
    <d v="2026-02-10T00:00:00"/>
    <x v="2"/>
    <x v="0"/>
    <n v="2"/>
    <n v="2"/>
    <s v="NO"/>
    <x v="1"/>
  </r>
  <r>
    <s v="TKT-2026-0085"/>
    <s v="Mobi-AME-0054"/>
    <d v="2025-12-05T00:00:00"/>
    <d v="2025-12-09T00:00:00"/>
    <x v="0"/>
    <x v="1"/>
    <n v="2"/>
    <n v="3"/>
    <s v="YES"/>
    <x v="0"/>
  </r>
  <r>
    <s v="TKT-2026-0086"/>
    <s v="Serv-AME-0326"/>
    <d v="2025-12-12T00:00:00"/>
    <d v="2025-12-15T00:00:00"/>
    <x v="0"/>
    <x v="1"/>
    <n v="2"/>
    <n v="2"/>
    <s v="NO"/>
    <x v="0"/>
  </r>
  <r>
    <s v="TKT-2026-0087"/>
    <s v="Lapt-EME-0148"/>
    <d v="2026-02-06T00:00:00"/>
    <d v="2026-02-10T00:00:00"/>
    <x v="2"/>
    <x v="3"/>
    <n v="2"/>
    <n v="3"/>
    <s v="YES"/>
    <x v="1"/>
  </r>
  <r>
    <s v="TKT-2026-0088"/>
    <s v="Mobi-AME-0514"/>
    <d v="2026-02-03T00:00:00"/>
    <d v="2026-02-07T00:00:00"/>
    <x v="5"/>
    <x v="1"/>
    <n v="2"/>
    <n v="4"/>
    <s v="YES"/>
    <x v="1"/>
  </r>
  <r>
    <s v="TKT-2026-0089"/>
    <s v="Lapt-LAT-0492"/>
    <d v="2026-01-05T00:00:00"/>
    <d v="2026-01-10T00:00:00"/>
    <x v="4"/>
    <x v="2"/>
    <n v="2"/>
    <n v="5"/>
    <s v="YES"/>
    <x v="2"/>
  </r>
  <r>
    <s v="TKT-2026-0090"/>
    <s v="Lapt-EME-0498"/>
    <d v="2026-01-29T00:00:00"/>
    <d v="2026-02-01T00:00:00"/>
    <x v="3"/>
    <x v="3"/>
    <n v="2"/>
    <n v="2"/>
    <s v="NO"/>
    <x v="2"/>
  </r>
  <r>
    <s v="TKT-2026-0091"/>
    <s v="Serv-APA-0501"/>
    <d v="2025-11-21T00:00:00"/>
    <d v="2025-11-23T00:00:00"/>
    <x v="3"/>
    <x v="0"/>
    <n v="2"/>
    <n v="1"/>
    <s v="NO"/>
    <x v="3"/>
  </r>
  <r>
    <s v="TKT-2026-0092"/>
    <s v="Mobi-APA-0495"/>
    <d v="2026-01-05T00:00:00"/>
    <d v="2026-01-10T00:00:00"/>
    <x v="3"/>
    <x v="0"/>
    <n v="2"/>
    <n v="5"/>
    <s v="YES"/>
    <x v="2"/>
  </r>
  <r>
    <s v="TKT-2026-0093"/>
    <s v="Lapt-EME-0429"/>
    <d v="2026-01-10T00:00:00"/>
    <d v="2026-01-12T00:00:00"/>
    <x v="5"/>
    <x v="3"/>
    <n v="2"/>
    <n v="1"/>
    <s v="NO"/>
    <x v="2"/>
  </r>
  <r>
    <s v="TKT-2026-0094"/>
    <s v="Netw-LAT-0166"/>
    <d v="2026-01-02T00:00:00"/>
    <d v="2026-01-04T00:00:00"/>
    <x v="1"/>
    <x v="2"/>
    <n v="2"/>
    <n v="1"/>
    <s v="NO"/>
    <x v="2"/>
  </r>
  <r>
    <s v="TKT-2026-0095"/>
    <s v="Lapt-EME-0429"/>
    <d v="2026-01-22T00:00:00"/>
    <d v="2026-01-25T00:00:00"/>
    <x v="5"/>
    <x v="3"/>
    <n v="2"/>
    <n v="2"/>
    <s v="NO"/>
    <x v="2"/>
  </r>
  <r>
    <s v="TKT-2026-0096"/>
    <s v="Serv-EME-0052"/>
    <d v="2026-02-05T00:00:00"/>
    <d v="2026-02-08T00:00:00"/>
    <x v="6"/>
    <x v="3"/>
    <n v="2"/>
    <n v="2"/>
    <s v="NO"/>
    <x v="1"/>
  </r>
  <r>
    <s v="TKT-2026-0097"/>
    <s v="Serv-LAT-0477"/>
    <d v="2025-12-26T00:00:00"/>
    <d v="2025-12-28T00:00:00"/>
    <x v="5"/>
    <x v="2"/>
    <n v="2"/>
    <n v="1"/>
    <s v="NO"/>
    <x v="0"/>
  </r>
  <r>
    <s v="TKT-2026-0098"/>
    <s v="Prin-LAT-0425"/>
    <d v="2026-01-01T00:00:00"/>
    <d v="2026-01-04T00:00:00"/>
    <x v="5"/>
    <x v="2"/>
    <n v="2"/>
    <n v="2"/>
    <s v="NO"/>
    <x v="2"/>
  </r>
  <r>
    <s v="TKT-2026-0099"/>
    <s v="Lapt-APA-0013"/>
    <d v="2026-01-01T00:00:00"/>
    <d v="2026-01-06T00:00:00"/>
    <x v="5"/>
    <x v="0"/>
    <n v="2"/>
    <n v="4"/>
    <s v="YES"/>
    <x v="2"/>
  </r>
  <r>
    <s v="TKT-2026-0100"/>
    <s v="Lapt-APA-0259"/>
    <d v="2025-12-23T00:00:00"/>
    <d v="2025-12-26T00:00:00"/>
    <x v="5"/>
    <x v="0"/>
    <n v="2"/>
    <n v="4"/>
    <s v="YES"/>
    <x v="0"/>
  </r>
  <r>
    <s v="TKT-2026-0101"/>
    <s v="Desk-APA-0480"/>
    <d v="2026-01-22T00:00:00"/>
    <d v="2026-01-26T00:00:00"/>
    <x v="5"/>
    <x v="0"/>
    <n v="2"/>
    <n v="3"/>
    <s v="YES"/>
    <x v="2"/>
  </r>
  <r>
    <s v="TKT-2026-0102"/>
    <s v="Serv-EME-0209"/>
    <d v="2025-12-29T00:00:00"/>
    <d v="2026-01-02T00:00:00"/>
    <x v="2"/>
    <x v="3"/>
    <n v="2"/>
    <n v="5"/>
    <s v="YES"/>
    <x v="0"/>
  </r>
  <r>
    <s v="TKT-2026-0103"/>
    <s v="Mobi-EME-0011"/>
    <d v="2026-01-26T00:00:00"/>
    <d v="2026-01-29T00:00:00"/>
    <x v="0"/>
    <x v="3"/>
    <n v="2"/>
    <n v="4"/>
    <s v="YES"/>
    <x v="2"/>
  </r>
  <r>
    <s v="TKT-2026-0104"/>
    <s v="Mobi-EME-0092"/>
    <d v="2025-12-30T00:00:00"/>
    <d v="2026-01-03T00:00:00"/>
    <x v="6"/>
    <x v="3"/>
    <n v="2"/>
    <n v="4"/>
    <s v="YES"/>
    <x v="0"/>
  </r>
  <r>
    <s v="TKT-2026-0105"/>
    <s v="Desk-APA-0349"/>
    <d v="2026-01-04T00:00:00"/>
    <d v="2026-01-07T00:00:00"/>
    <x v="5"/>
    <x v="0"/>
    <n v="2"/>
    <n v="3"/>
    <s v="YES"/>
    <x v="2"/>
  </r>
  <r>
    <s v="TKT-2026-0106"/>
    <s v="Netw-LAT-0213"/>
    <d v="2025-12-05T00:00:00"/>
    <d v="2025-12-09T00:00:00"/>
    <x v="6"/>
    <x v="2"/>
    <n v="2"/>
    <n v="3"/>
    <s v="YES"/>
    <x v="0"/>
  </r>
  <r>
    <s v="TKT-2026-0107"/>
    <s v="Mobi-AME-0415"/>
    <d v="2026-01-08T00:00:00"/>
    <d v="2026-01-13T00:00:00"/>
    <x v="5"/>
    <x v="1"/>
    <n v="2"/>
    <n v="4"/>
    <s v="YES"/>
    <x v="2"/>
  </r>
  <r>
    <s v="TKT-2026-0108"/>
    <s v="Serv-LAT-0411"/>
    <d v="2025-12-23T00:00:00"/>
    <d v="2025-12-26T00:00:00"/>
    <x v="4"/>
    <x v="2"/>
    <n v="2"/>
    <n v="4"/>
    <s v="YES"/>
    <x v="0"/>
  </r>
  <r>
    <s v="TKT-2026-0109"/>
    <s v="Mobi-AME-0514"/>
    <d v="2026-02-05T00:00:00"/>
    <d v="2026-02-08T00:00:00"/>
    <x v="5"/>
    <x v="1"/>
    <n v="2"/>
    <n v="2"/>
    <s v="NO"/>
    <x v="1"/>
  </r>
  <r>
    <s v="TKT-2026-0110"/>
    <s v="Mobi-APA-0187"/>
    <d v="2025-11-25T00:00:00"/>
    <d v="2025-11-28T00:00:00"/>
    <x v="4"/>
    <x v="0"/>
    <n v="2"/>
    <n v="4"/>
    <s v="YES"/>
    <x v="3"/>
  </r>
  <r>
    <s v="TKT-2026-0111"/>
    <s v="Mobi-APA-0187"/>
    <d v="2026-02-13T00:00:00"/>
    <d v="2026-02-18T00:00:00"/>
    <x v="4"/>
    <x v="0"/>
    <n v="2"/>
    <n v="4"/>
    <s v="YES"/>
    <x v="1"/>
  </r>
  <r>
    <s v="TKT-2026-0112"/>
    <s v="Prin-LAT-0286"/>
    <d v="2025-11-28T00:00:00"/>
    <d v="2025-12-02T00:00:00"/>
    <x v="6"/>
    <x v="2"/>
    <n v="2"/>
    <n v="3"/>
    <s v="YES"/>
    <x v="3"/>
  </r>
  <r>
    <s v="TKT-2026-0113"/>
    <s v="Netw-LAT-0418"/>
    <d v="2025-11-29T00:00:00"/>
    <d v="2025-12-01T00:00:00"/>
    <x v="1"/>
    <x v="2"/>
    <n v="2"/>
    <n v="1"/>
    <s v="NO"/>
    <x v="3"/>
  </r>
  <r>
    <s v="TKT-2026-0114"/>
    <s v="Desk-AME-0002"/>
    <d v="2025-12-05T00:00:00"/>
    <d v="2025-12-10T00:00:00"/>
    <x v="0"/>
    <x v="1"/>
    <n v="2"/>
    <n v="4"/>
    <s v="YES"/>
    <x v="0"/>
  </r>
  <r>
    <s v="TKT-2026-0115"/>
    <s v="Serv-AME-0241"/>
    <d v="2025-12-15T00:00:00"/>
    <d v="2025-12-19T00:00:00"/>
    <x v="2"/>
    <x v="1"/>
    <n v="2"/>
    <n v="5"/>
    <s v="YES"/>
    <x v="0"/>
  </r>
  <r>
    <s v="TKT-2026-0116"/>
    <s v="Serv-LAT-0200"/>
    <d v="2026-01-22T00:00:00"/>
    <d v="2026-01-26T00:00:00"/>
    <x v="6"/>
    <x v="2"/>
    <n v="2"/>
    <n v="3"/>
    <s v="YES"/>
    <x v="2"/>
  </r>
  <r>
    <s v="TKT-2026-0117"/>
    <s v="Serv-LAT-0264"/>
    <d v="2025-11-18T00:00:00"/>
    <d v="2025-11-23T00:00:00"/>
    <x v="2"/>
    <x v="2"/>
    <n v="2"/>
    <n v="4"/>
    <s v="YES"/>
    <x v="3"/>
  </r>
  <r>
    <s v="TKT-2026-0118"/>
    <s v="Mobi-APA-0325"/>
    <d v="2025-12-04T00:00:00"/>
    <d v="2025-12-09T00:00:00"/>
    <x v="2"/>
    <x v="0"/>
    <n v="2"/>
    <n v="4"/>
    <s v="YES"/>
    <x v="0"/>
  </r>
  <r>
    <s v="TKT-2026-0119"/>
    <s v="Lapt-APA-0310"/>
    <d v="2025-11-26T00:00:00"/>
    <d v="2025-11-28T00:00:00"/>
    <x v="0"/>
    <x v="0"/>
    <n v="2"/>
    <n v="3"/>
    <s v="YES"/>
    <x v="3"/>
  </r>
  <r>
    <s v="TKT-2026-0120"/>
    <s v="Desk-APA-0195"/>
    <d v="2026-01-28T00:00:00"/>
    <d v="2026-02-02T00:00:00"/>
    <x v="2"/>
    <x v="0"/>
    <n v="2"/>
    <n v="4"/>
    <s v="YES"/>
    <x v="2"/>
  </r>
  <r>
    <s v="TKT-2026-0121"/>
    <s v="Serv-LAT-0292"/>
    <d v="2025-12-28T00:00:00"/>
    <d v="2026-01-02T00:00:00"/>
    <x v="0"/>
    <x v="2"/>
    <n v="2"/>
    <n v="5"/>
    <s v="YES"/>
    <x v="0"/>
  </r>
  <r>
    <s v="TKT-2026-0122"/>
    <s v="Desk-EME-0300"/>
    <d v="2026-02-08T00:00:00"/>
    <d v="2026-02-12T00:00:00"/>
    <x v="0"/>
    <x v="3"/>
    <n v="2"/>
    <n v="4"/>
    <s v="YES"/>
    <x v="1"/>
  </r>
  <r>
    <s v="TKT-2026-0123"/>
    <s v="Netw-LAT-0114"/>
    <d v="2026-01-28T00:00:00"/>
    <d v="2026-01-31T00:00:00"/>
    <x v="2"/>
    <x v="2"/>
    <n v="2"/>
    <n v="3"/>
    <s v="YES"/>
    <x v="2"/>
  </r>
  <r>
    <s v="TKT-2026-0124"/>
    <s v="Netw-LAT-0216"/>
    <d v="2025-12-14T00:00:00"/>
    <d v="2025-12-16T00:00:00"/>
    <x v="3"/>
    <x v="2"/>
    <n v="2"/>
    <n v="2"/>
    <s v="NO"/>
    <x v="0"/>
  </r>
  <r>
    <s v="TKT-2026-0125"/>
    <s v="Serv-EME-0185"/>
    <d v="2025-12-07T00:00:00"/>
    <d v="2025-12-09T00:00:00"/>
    <x v="6"/>
    <x v="3"/>
    <n v="2"/>
    <n v="2"/>
    <s v="NO"/>
    <x v="0"/>
  </r>
  <r>
    <s v="TKT-2026-0126"/>
    <s v="Lapt-AME-0046"/>
    <d v="2026-02-08T00:00:00"/>
    <d v="2026-02-12T00:00:00"/>
    <x v="1"/>
    <x v="1"/>
    <n v="2"/>
    <n v="4"/>
    <s v="YES"/>
    <x v="1"/>
  </r>
  <r>
    <s v="TKT-2026-0127"/>
    <s v="Netw-APA-0129"/>
    <d v="2025-12-06T00:00:00"/>
    <d v="2025-12-09T00:00:00"/>
    <x v="1"/>
    <x v="0"/>
    <n v="2"/>
    <n v="2"/>
    <s v="NO"/>
    <x v="0"/>
  </r>
  <r>
    <s v="TKT-2026-0128"/>
    <s v="Netw-AME-0073"/>
    <d v="2025-12-29T00:00:00"/>
    <d v="2026-01-01T00:00:00"/>
    <x v="3"/>
    <x v="1"/>
    <n v="2"/>
    <n v="4"/>
    <s v="YES"/>
    <x v="0"/>
  </r>
  <r>
    <s v="TKT-2026-0129"/>
    <s v="Prin-APA-0168"/>
    <d v="2025-12-01T00:00:00"/>
    <d v="2025-12-05T00:00:00"/>
    <x v="4"/>
    <x v="0"/>
    <n v="2"/>
    <n v="5"/>
    <s v="YES"/>
    <x v="0"/>
  </r>
  <r>
    <s v="TKT-2026-0130"/>
    <s v="Prin-LAT-0159"/>
    <d v="2025-12-24T00:00:00"/>
    <d v="2025-12-27T00:00:00"/>
    <x v="0"/>
    <x v="2"/>
    <n v="2"/>
    <n v="3"/>
    <s v="YES"/>
    <x v="0"/>
  </r>
  <r>
    <s v="TKT-2026-0131"/>
    <s v="Prin-AME-0407"/>
    <d v="2026-01-19T00:00:00"/>
    <d v="2026-01-21T00:00:00"/>
    <x v="2"/>
    <x v="1"/>
    <n v="2"/>
    <n v="3"/>
    <s v="YES"/>
    <x v="2"/>
  </r>
  <r>
    <s v="TKT-2026-0132"/>
    <s v="Netw-APA-0049"/>
    <d v="2025-12-09T00:00:00"/>
    <d v="2025-12-11T00:00:00"/>
    <x v="1"/>
    <x v="0"/>
    <n v="2"/>
    <n v="3"/>
    <s v="YES"/>
    <x v="0"/>
  </r>
  <r>
    <s v="TKT-2026-0133"/>
    <s v="Mobi-APA-0154"/>
    <d v="2025-12-16T00:00:00"/>
    <d v="2025-12-20T00:00:00"/>
    <x v="1"/>
    <x v="0"/>
    <n v="2"/>
    <n v="4"/>
    <s v="YES"/>
    <x v="0"/>
  </r>
  <r>
    <s v="TKT-2026-0134"/>
    <s v="Lapt-LAT-0307"/>
    <d v="2025-12-15T00:00:00"/>
    <d v="2025-12-17T00:00:00"/>
    <x v="3"/>
    <x v="2"/>
    <n v="2"/>
    <n v="3"/>
    <s v="YES"/>
    <x v="0"/>
  </r>
  <r>
    <s v="TKT-2026-0135"/>
    <s v="Lapt-EME-0053"/>
    <d v="2025-12-01T00:00:00"/>
    <d v="2025-12-06T00:00:00"/>
    <x v="2"/>
    <x v="3"/>
    <n v="2"/>
    <n v="5"/>
    <s v="YES"/>
    <x v="0"/>
  </r>
  <r>
    <s v="TKT-2026-0136"/>
    <s v="Prin-AME-0082"/>
    <d v="2026-01-07T00:00:00"/>
    <d v="2026-01-10T00:00:00"/>
    <x v="2"/>
    <x v="1"/>
    <n v="2"/>
    <n v="3"/>
    <s v="YES"/>
    <x v="2"/>
  </r>
  <r>
    <s v="TKT-2026-0137"/>
    <s v="Mobi-APA-0059"/>
    <d v="2026-01-28T00:00:00"/>
    <d v="2026-02-02T00:00:00"/>
    <x v="0"/>
    <x v="0"/>
    <n v="2"/>
    <n v="4"/>
    <s v="YES"/>
    <x v="2"/>
  </r>
  <r>
    <s v="TKT-2026-0138"/>
    <s v="Serv-AME-0035"/>
    <d v="2026-01-29T00:00:00"/>
    <d v="2026-02-01T00:00:00"/>
    <x v="6"/>
    <x v="1"/>
    <n v="2"/>
    <n v="2"/>
    <s v="NO"/>
    <x v="2"/>
  </r>
  <r>
    <s v="TKT-2026-0139"/>
    <s v="Serv-EME-0459"/>
    <d v="2026-01-18T00:00:00"/>
    <d v="2026-01-23T00:00:00"/>
    <x v="3"/>
    <x v="3"/>
    <n v="2"/>
    <n v="5"/>
    <s v="YES"/>
    <x v="2"/>
  </r>
  <r>
    <s v="TKT-2026-0140"/>
    <s v="Lapt-EME-0111"/>
    <d v="2025-12-24T00:00:00"/>
    <d v="2025-12-28T00:00:00"/>
    <x v="4"/>
    <x v="3"/>
    <n v="2"/>
    <n v="3"/>
    <s v="YES"/>
    <x v="0"/>
  </r>
  <r>
    <s v="TKT-2026-0141"/>
    <s v="Lapt-AME-0252"/>
    <d v="2025-12-12T00:00:00"/>
    <d v="2025-12-14T00:00:00"/>
    <x v="3"/>
    <x v="1"/>
    <n v="2"/>
    <n v="1"/>
    <s v="NO"/>
    <x v="0"/>
  </r>
  <r>
    <s v="TKT-2026-0142"/>
    <s v="Desk-EME-0220"/>
    <d v="2026-01-24T00:00:00"/>
    <d v="2026-01-28T00:00:00"/>
    <x v="1"/>
    <x v="3"/>
    <n v="2"/>
    <n v="3"/>
    <s v="YES"/>
    <x v="2"/>
  </r>
  <r>
    <s v="TKT-2026-0143"/>
    <s v="Desk-AME-0367"/>
    <d v="2025-11-25T00:00:00"/>
    <d v="2025-11-28T00:00:00"/>
    <x v="4"/>
    <x v="1"/>
    <n v="2"/>
    <n v="4"/>
    <s v="YES"/>
    <x v="3"/>
  </r>
  <r>
    <s v="TKT-2026-0144"/>
    <s v="Desk-EME-0037"/>
    <d v="2026-01-03T00:00:00"/>
    <d v="2026-01-06T00:00:00"/>
    <x v="5"/>
    <x v="3"/>
    <n v="2"/>
    <n v="2"/>
    <s v="NO"/>
    <x v="2"/>
  </r>
  <r>
    <s v="TKT-2026-0145"/>
    <s v="Lapt-LAT-0050"/>
    <d v="2025-12-21T00:00:00"/>
    <d v="2025-12-23T00:00:00"/>
    <x v="1"/>
    <x v="2"/>
    <n v="2"/>
    <n v="2"/>
    <s v="NO"/>
    <x v="0"/>
  </r>
  <r>
    <s v="TKT-2026-0146"/>
    <s v="Desk-LAT-0493"/>
    <d v="2026-02-02T00:00:00"/>
    <d v="2026-02-05T00:00:00"/>
    <x v="0"/>
    <x v="2"/>
    <n v="2"/>
    <n v="4"/>
    <s v="YES"/>
    <x v="1"/>
  </r>
  <r>
    <s v="TKT-2026-0147"/>
    <s v="Lapt-EME-0398"/>
    <d v="2025-11-18T00:00:00"/>
    <d v="2025-11-20T00:00:00"/>
    <x v="0"/>
    <x v="3"/>
    <n v="2"/>
    <n v="3"/>
    <s v="YES"/>
    <x v="3"/>
  </r>
  <r>
    <s v="TKT-2026-0148"/>
    <s v="Lapt-AME-0333"/>
    <d v="2026-02-09T00:00:00"/>
    <d v="2026-02-12T00:00:00"/>
    <x v="2"/>
    <x v="1"/>
    <n v="2"/>
    <n v="4"/>
    <s v="YES"/>
    <x v="1"/>
  </r>
  <r>
    <s v="TKT-2026-0149"/>
    <s v="Lapt-EME-0504"/>
    <d v="2026-01-22T00:00:00"/>
    <d v="2026-01-24T00:00:00"/>
    <x v="1"/>
    <x v="3"/>
    <n v="2"/>
    <n v="2"/>
    <s v="NO"/>
    <x v="2"/>
  </r>
  <r>
    <s v="TKT-2026-0150"/>
    <s v="Mobi-EME-0436"/>
    <d v="2026-03-26T00:00:00"/>
    <d v="2026-03-28T00:00:00"/>
    <x v="4"/>
    <x v="3"/>
    <n v="2"/>
    <n v="2"/>
    <s v="NO"/>
    <x v="4"/>
  </r>
  <r>
    <s v="TKT-2026-0151"/>
    <s v="Desk-AME-0455"/>
    <d v="2026-04-09T00:00:00"/>
    <d v="2026-04-11T00:00:00"/>
    <x v="1"/>
    <x v="1"/>
    <n v="2"/>
    <n v="2"/>
    <s v="NO"/>
    <x v="5"/>
  </r>
  <r>
    <s v="TKT-2026-0152"/>
    <s v="Netw-LAT-0182"/>
    <d v="2026-03-19T00:00:00"/>
    <d v="2026-03-21T00:00:00"/>
    <x v="4"/>
    <x v="2"/>
    <n v="2"/>
    <n v="2"/>
    <s v="NO"/>
    <x v="4"/>
  </r>
  <r>
    <s v="TKT-2026-0153"/>
    <s v="Mobi-LAT-0039"/>
    <d v="2026-04-05T00:00:00"/>
    <d v="2026-04-06T00:00:00"/>
    <x v="5"/>
    <x v="2"/>
    <n v="2"/>
    <n v="1"/>
    <s v="NO"/>
    <x v="5"/>
  </r>
  <r>
    <s v="TKT-2026-0154"/>
    <s v="Desk-LAT-0382"/>
    <d v="2026-03-24T00:00:00"/>
    <d v="2026-03-25T00:00:00"/>
    <x v="0"/>
    <x v="2"/>
    <n v="2"/>
    <n v="2"/>
    <s v="NO"/>
    <x v="4"/>
  </r>
  <r>
    <s v="TKT-2026-0155"/>
    <s v="Netw-AME-0359"/>
    <d v="2026-04-09T00:00:00"/>
    <d v="2026-04-10T00:00:00"/>
    <x v="6"/>
    <x v="1"/>
    <n v="2"/>
    <n v="2"/>
    <s v="NO"/>
    <x v="5"/>
  </r>
  <r>
    <s v="TKT-2026-0156"/>
    <s v="Serv-EME-0427"/>
    <d v="2026-03-31T00:00:00"/>
    <d v="2026-04-02T00:00:00"/>
    <x v="5"/>
    <x v="3"/>
    <n v="2"/>
    <n v="3"/>
    <s v="YES"/>
    <x v="4"/>
  </r>
  <r>
    <s v="TKT-2026-0157"/>
    <s v="Desk-APA-0097"/>
    <d v="2026-03-26T00:00:00"/>
    <d v="2026-03-27T00:00:00"/>
    <x v="3"/>
    <x v="0"/>
    <n v="2"/>
    <n v="2"/>
    <s v="NO"/>
    <x v="4"/>
  </r>
  <r>
    <s v="TKT-2026-0158"/>
    <s v="Desk-AME-0277"/>
    <d v="2026-03-15T00:00:00"/>
    <d v="2026-03-17T00:00:00"/>
    <x v="4"/>
    <x v="1"/>
    <n v="2"/>
    <n v="2"/>
    <s v="NO"/>
    <x v="4"/>
  </r>
  <r>
    <s v="TKT-2026-0159"/>
    <s v="Netw-LAT-0101"/>
    <d v="2026-03-12T00:00:00"/>
    <d v="2026-03-14T00:00:00"/>
    <x v="4"/>
    <x v="2"/>
    <n v="2"/>
    <n v="2"/>
    <s v="NO"/>
    <x v="4"/>
  </r>
  <r>
    <s v="TKT-2026-0160"/>
    <s v="Serv-LAT-0411"/>
    <d v="2026-03-31T00:00:00"/>
    <d v="2026-04-02T00:00:00"/>
    <x v="4"/>
    <x v="2"/>
    <n v="2"/>
    <n v="3"/>
    <s v="YES"/>
    <x v="4"/>
  </r>
  <r>
    <s v="TKT-2026-0161"/>
    <s v="Desk-LAT-0517"/>
    <d v="2026-03-24T00:00:00"/>
    <d v="2026-03-25T00:00:00"/>
    <x v="3"/>
    <x v="2"/>
    <n v="2"/>
    <n v="2"/>
    <s v="NO"/>
    <x v="4"/>
  </r>
  <r>
    <s v="TKT-2026-0162"/>
    <s v="Prin-APA-0217"/>
    <d v="2026-04-09T00:00:00"/>
    <d v="2026-04-11T00:00:00"/>
    <x v="3"/>
    <x v="0"/>
    <n v="2"/>
    <n v="2"/>
    <s v="NO"/>
    <x v="5"/>
  </r>
  <r>
    <s v="TKT-2026-0163"/>
    <s v="Serv-AME-0227"/>
    <d v="2026-03-22T00:00:00"/>
    <d v="2026-03-23T00:00:00"/>
    <x v="1"/>
    <x v="1"/>
    <n v="2"/>
    <n v="1"/>
    <s v="NO"/>
    <x v="4"/>
  </r>
  <r>
    <s v="TKT-2026-0164"/>
    <s v="Mobi-AME-0147"/>
    <d v="2026-03-30T00:00:00"/>
    <d v="2026-04-01T00:00:00"/>
    <x v="3"/>
    <x v="1"/>
    <n v="2"/>
    <n v="3"/>
    <s v="YES"/>
    <x v="4"/>
  </r>
  <r>
    <s v="TKT-2026-0165"/>
    <s v="Desk-LAT-0240"/>
    <d v="2026-03-13T00:00:00"/>
    <d v="2026-03-15T00:00:00"/>
    <x v="2"/>
    <x v="2"/>
    <n v="2"/>
    <n v="1"/>
    <s v="NO"/>
    <x v="4"/>
  </r>
  <r>
    <s v="TKT-2026-0166"/>
    <s v="Mobi-APA-0085"/>
    <d v="2026-03-14T00:00:00"/>
    <d v="2026-03-15T00:00:00"/>
    <x v="1"/>
    <x v="0"/>
    <n v="2"/>
    <n v="0"/>
    <s v="NO"/>
    <x v="4"/>
  </r>
  <r>
    <s v="TKT-2026-0167"/>
    <s v="Mobi-APA-0265"/>
    <d v="2026-03-20T00:00:00"/>
    <d v="2026-03-22T00:00:00"/>
    <x v="0"/>
    <x v="0"/>
    <n v="2"/>
    <n v="1"/>
    <s v="NO"/>
    <x v="4"/>
  </r>
  <r>
    <s v="TKT-2026-0168"/>
    <s v="Serv-LAT-0012"/>
    <d v="2026-03-14T00:00:00"/>
    <d v="2026-03-16T00:00:00"/>
    <x v="4"/>
    <x v="2"/>
    <n v="2"/>
    <n v="1"/>
    <s v="NO"/>
    <x v="4"/>
  </r>
  <r>
    <s v="TKT-2026-0169"/>
    <s v="Desk-LAT-0228"/>
    <d v="2026-03-26T00:00:00"/>
    <d v="2026-03-27T00:00:00"/>
    <x v="5"/>
    <x v="2"/>
    <n v="2"/>
    <n v="2"/>
    <s v="NO"/>
    <x v="4"/>
  </r>
  <r>
    <s v="TKT-2026-0170"/>
    <s v="Netw-AME-0357"/>
    <d v="2026-03-13T00:00:00"/>
    <d v="2026-03-14T00:00:00"/>
    <x v="1"/>
    <x v="1"/>
    <n v="2"/>
    <n v="1"/>
    <s v="NO"/>
    <x v="4"/>
  </r>
  <r>
    <s v="TKT-2026-0171"/>
    <s v="Serv-EME-0413"/>
    <d v="2026-03-13T00:00:00"/>
    <d v="2026-03-15T00:00:00"/>
    <x v="6"/>
    <x v="3"/>
    <n v="2"/>
    <n v="1"/>
    <s v="NO"/>
    <x v="4"/>
  </r>
  <r>
    <s v="TKT-2026-0172"/>
    <s v="Mobi-AME-0065"/>
    <d v="2026-03-31T00:00:00"/>
    <d v="2026-04-02T00:00:00"/>
    <x v="1"/>
    <x v="1"/>
    <n v="2"/>
    <n v="3"/>
    <s v="YES"/>
    <x v="4"/>
  </r>
  <r>
    <s v="TKT-2026-0173"/>
    <s v="Desk-AME-0268"/>
    <d v="2026-03-13T00:00:00"/>
    <d v="2026-03-14T00:00:00"/>
    <x v="3"/>
    <x v="1"/>
    <n v="2"/>
    <n v="1"/>
    <s v="NO"/>
    <x v="4"/>
  </r>
  <r>
    <s v="TKT-2026-0174"/>
    <s v="Serv-AME-0434"/>
    <d v="2026-03-18T00:00:00"/>
    <d v="2026-03-20T00:00:00"/>
    <x v="1"/>
    <x v="1"/>
    <n v="2"/>
    <n v="3"/>
    <s v="YES"/>
    <x v="4"/>
  </r>
  <r>
    <s v="TKT-2026-0175"/>
    <s v="Mobi-EME-0225"/>
    <d v="2026-03-15T00:00:00"/>
    <d v="2026-03-16T00:00:00"/>
    <x v="3"/>
    <x v="3"/>
    <n v="2"/>
    <n v="1"/>
    <s v="NO"/>
    <x v="4"/>
  </r>
  <r>
    <s v="TKT-2026-0176"/>
    <s v="Lapt-EME-0520"/>
    <d v="2026-04-08T00:00:00"/>
    <d v="2026-04-09T00:00:00"/>
    <x v="2"/>
    <x v="3"/>
    <n v="2"/>
    <n v="2"/>
    <s v="NO"/>
    <x v="5"/>
  </r>
  <r>
    <s v="TKT-2026-0177"/>
    <s v="Lapt-LAT-0071"/>
    <d v="2026-03-31T00:00:00"/>
    <d v="2026-04-01T00:00:00"/>
    <x v="5"/>
    <x v="2"/>
    <n v="2"/>
    <n v="2"/>
    <s v="NO"/>
    <x v="4"/>
  </r>
  <r>
    <s v="TKT-2026-0178"/>
    <s v="Prin-LAT-0229"/>
    <d v="2026-04-08T00:00:00"/>
    <d v="2026-04-09T00:00:00"/>
    <x v="4"/>
    <x v="2"/>
    <n v="2"/>
    <n v="2"/>
    <s v="NO"/>
    <x v="5"/>
  </r>
  <r>
    <s v="TKT-2026-0179"/>
    <s v="Lapt-AME-0038"/>
    <d v="2026-03-26T00:00:00"/>
    <d v="2026-03-27T00:00:00"/>
    <x v="4"/>
    <x v="1"/>
    <n v="2"/>
    <n v="2"/>
    <s v="NO"/>
    <x v="4"/>
  </r>
  <r>
    <s v="TKT-2026-0180"/>
    <s v="Desk-AME-0277"/>
    <d v="2026-04-05T00:00:00"/>
    <d v="2026-04-07T00:00:00"/>
    <x v="4"/>
    <x v="1"/>
    <n v="2"/>
    <n v="2"/>
    <s v="NO"/>
    <x v="5"/>
  </r>
  <r>
    <s v="TKT-2026-0181"/>
    <s v="Mobi-AME-0497"/>
    <d v="2026-04-04T00:00:00"/>
    <d v="2026-04-06T00:00:00"/>
    <x v="4"/>
    <x v="1"/>
    <n v="2"/>
    <n v="1"/>
    <s v="NO"/>
    <x v="5"/>
  </r>
  <r>
    <s v="TKT-2026-0182"/>
    <s v="Lapt-APA-0316"/>
    <d v="2026-03-18T00:00:00"/>
    <d v="2026-03-19T00:00:00"/>
    <x v="6"/>
    <x v="0"/>
    <n v="2"/>
    <n v="2"/>
    <s v="NO"/>
    <x v="4"/>
  </r>
  <r>
    <s v="TKT-2026-0183"/>
    <s v="Serv-EME-0438"/>
    <d v="2026-03-31T00:00:00"/>
    <d v="2026-04-02T00:00:00"/>
    <x v="0"/>
    <x v="3"/>
    <n v="2"/>
    <n v="3"/>
    <s v="YES"/>
    <x v="4"/>
  </r>
  <r>
    <s v="TKT-2026-0184"/>
    <s v="Netw-LAT-0262"/>
    <d v="2026-04-10T00:00:00"/>
    <d v="2026-04-12T00:00:00"/>
    <x v="0"/>
    <x v="2"/>
    <n v="2"/>
    <n v="1"/>
    <s v="NO"/>
    <x v="5"/>
  </r>
  <r>
    <s v="TKT-2026-0185"/>
    <s v="Prin-LAT-0236"/>
    <d v="2026-03-27T00:00:00"/>
    <d v="2026-03-28T00:00:00"/>
    <x v="1"/>
    <x v="2"/>
    <n v="2"/>
    <n v="1"/>
    <s v="NO"/>
    <x v="4"/>
  </r>
  <r>
    <s v="TKT-2026-0186"/>
    <s v="Prin-AME-0143"/>
    <d v="2026-04-04T00:00:00"/>
    <d v="2026-04-05T00:00:00"/>
    <x v="5"/>
    <x v="1"/>
    <n v="2"/>
    <n v="0"/>
    <s v="NO"/>
    <x v="5"/>
  </r>
  <r>
    <s v="TKT-2026-0187"/>
    <s v="Lapt-APA-0310"/>
    <d v="2026-03-16T00:00:00"/>
    <d v="2026-03-17T00:00:00"/>
    <x v="0"/>
    <x v="0"/>
    <n v="2"/>
    <n v="2"/>
    <s v="NO"/>
    <x v="4"/>
  </r>
  <r>
    <s v="TKT-2026-0188"/>
    <s v="Desk-APA-0137"/>
    <d v="2026-04-06T00:00:00"/>
    <d v="2026-04-08T00:00:00"/>
    <x v="5"/>
    <x v="0"/>
    <n v="2"/>
    <n v="3"/>
    <s v="YES"/>
    <x v="5"/>
  </r>
  <r>
    <s v="TKT-2026-0189"/>
    <s v="Prin-LAT-0408"/>
    <d v="2026-04-05T00:00:00"/>
    <d v="2026-04-07T00:00:00"/>
    <x v="4"/>
    <x v="2"/>
    <n v="2"/>
    <n v="2"/>
    <s v="NO"/>
    <x v="5"/>
  </r>
  <r>
    <s v="TKT-2026-0190"/>
    <s v="Mobi-APA-0518"/>
    <d v="2026-03-15T00:00:00"/>
    <d v="2026-03-17T00:00:00"/>
    <x v="4"/>
    <x v="0"/>
    <n v="2"/>
    <n v="2"/>
    <s v="NO"/>
    <x v="4"/>
  </r>
  <r>
    <s v="TKT-2026-0191"/>
    <s v="Serv-LAT-0200"/>
    <d v="2026-03-20T00:00:00"/>
    <d v="2026-03-22T00:00:00"/>
    <x v="6"/>
    <x v="2"/>
    <n v="2"/>
    <n v="1"/>
    <s v="NO"/>
    <x v="4"/>
  </r>
  <r>
    <s v="TKT-2026-0192"/>
    <s v="Lapt-APA-0336"/>
    <d v="2026-03-17T00:00:00"/>
    <d v="2026-03-18T00:00:00"/>
    <x v="1"/>
    <x v="0"/>
    <n v="2"/>
    <n v="2"/>
    <s v="NO"/>
    <x v="4"/>
  </r>
  <r>
    <s v="TKT-2026-0193"/>
    <s v="Desk-EME-0466"/>
    <d v="2026-03-16T00:00:00"/>
    <d v="2026-03-17T00:00:00"/>
    <x v="0"/>
    <x v="3"/>
    <n v="2"/>
    <n v="2"/>
    <s v="NO"/>
    <x v="4"/>
  </r>
  <r>
    <s v="TKT-2026-0194"/>
    <s v="Mobi-APA-0518"/>
    <d v="2026-03-31T00:00:00"/>
    <d v="2026-04-02T00:00:00"/>
    <x v="4"/>
    <x v="0"/>
    <n v="2"/>
    <n v="3"/>
    <s v="YES"/>
    <x v="4"/>
  </r>
  <r>
    <s v="TKT-2026-0195"/>
    <s v="Netw-LAT-0105"/>
    <d v="2026-03-13T00:00:00"/>
    <d v="2026-03-15T00:00:00"/>
    <x v="5"/>
    <x v="2"/>
    <n v="2"/>
    <n v="1"/>
    <s v="NO"/>
    <x v="4"/>
  </r>
  <r>
    <s v="TKT-2026-0196"/>
    <s v="Desk-LAT-0080"/>
    <d v="2026-04-04T00:00:00"/>
    <d v="2026-04-06T00:00:00"/>
    <x v="3"/>
    <x v="2"/>
    <n v="2"/>
    <n v="1"/>
    <s v="NO"/>
    <x v="5"/>
  </r>
  <r>
    <s v="TKT-2026-0197"/>
    <s v="Netw-LAT-0461"/>
    <d v="2026-03-20T00:00:00"/>
    <d v="2026-03-21T00:00:00"/>
    <x v="1"/>
    <x v="2"/>
    <n v="2"/>
    <n v="1"/>
    <s v="NO"/>
    <x v="4"/>
  </r>
  <r>
    <s v="TKT-2026-0198"/>
    <s v="Desk-APA-0243"/>
    <d v="2026-04-04T00:00:00"/>
    <d v="2026-04-06T00:00:00"/>
    <x v="2"/>
    <x v="0"/>
    <n v="2"/>
    <n v="1"/>
    <s v="NO"/>
    <x v="5"/>
  </r>
  <r>
    <s v="TKT-2026-0199"/>
    <s v="Prin-EME-0502"/>
    <d v="2026-03-20T00:00:00"/>
    <d v="2026-03-22T00:00:00"/>
    <x v="6"/>
    <x v="3"/>
    <n v="2"/>
    <n v="1"/>
    <s v="NO"/>
    <x v="4"/>
  </r>
  <r>
    <s v="TKT-2026-0200"/>
    <s v="Mobi-EME-0191"/>
    <d v="2026-04-03T00:00:00"/>
    <d v="2026-04-05T00:00:00"/>
    <x v="6"/>
    <x v="3"/>
    <n v="2"/>
    <n v="1"/>
    <s v="NO"/>
    <x v="5"/>
  </r>
  <r>
    <s v="TKT-2026-0201"/>
    <s v="Lapt-AME-0319"/>
    <d v="2026-03-25T00:00:00"/>
    <d v="2026-03-26T00:00:00"/>
    <x v="0"/>
    <x v="1"/>
    <n v="2"/>
    <n v="2"/>
    <s v="NO"/>
    <x v="4"/>
  </r>
  <r>
    <s v="TKT-2026-0202"/>
    <s v="Desk-EME-0057"/>
    <d v="2026-03-25T00:00:00"/>
    <d v="2026-03-27T00:00:00"/>
    <x v="0"/>
    <x v="3"/>
    <n v="2"/>
    <n v="3"/>
    <s v="YES"/>
    <x v="4"/>
  </r>
  <r>
    <s v="TKT-2026-0203"/>
    <s v="Lapt-APA-0389"/>
    <d v="2026-03-19T00:00:00"/>
    <d v="2026-03-20T00:00:00"/>
    <x v="5"/>
    <x v="0"/>
    <n v="2"/>
    <n v="2"/>
    <s v="NO"/>
    <x v="4"/>
  </r>
  <r>
    <s v="TKT-2026-0204"/>
    <s v="Desk-EME-0323"/>
    <d v="2026-03-23T00:00:00"/>
    <d v="2026-03-25T00:00:00"/>
    <x v="0"/>
    <x v="3"/>
    <n v="2"/>
    <n v="3"/>
    <s v="YES"/>
    <x v="4"/>
  </r>
  <r>
    <s v="TKT-2026-0205"/>
    <s v="Lapt-LAT-0285"/>
    <d v="2026-03-28T00:00:00"/>
    <d v="2026-03-29T00:00:00"/>
    <x v="2"/>
    <x v="2"/>
    <n v="2"/>
    <n v="0"/>
    <s v="NO"/>
    <x v="4"/>
  </r>
  <r>
    <s v="TKT-2026-0206"/>
    <s v="Prin-LAT-0487"/>
    <d v="2026-03-27T00:00:00"/>
    <d v="2026-03-29T00:00:00"/>
    <x v="2"/>
    <x v="2"/>
    <n v="2"/>
    <n v="1"/>
    <s v="NO"/>
    <x v="4"/>
  </r>
  <r>
    <s v="TKT-2026-0207"/>
    <s v="Desk-APA-0137"/>
    <d v="2026-03-17T00:00:00"/>
    <d v="2026-03-19T00:00:00"/>
    <x v="5"/>
    <x v="0"/>
    <n v="2"/>
    <n v="3"/>
    <s v="YES"/>
    <x v="4"/>
  </r>
  <r>
    <s v="TKT-2026-0208"/>
    <s v="Mobi-AME-0484"/>
    <d v="2026-03-13T00:00:00"/>
    <d v="2026-03-15T00:00:00"/>
    <x v="6"/>
    <x v="1"/>
    <n v="2"/>
    <n v="1"/>
    <s v="NO"/>
    <x v="4"/>
  </r>
  <r>
    <s v="TKT-2026-0209"/>
    <s v="Prin-APA-0465"/>
    <d v="2026-04-04T00:00:00"/>
    <d v="2026-04-05T00:00:00"/>
    <x v="5"/>
    <x v="0"/>
    <n v="2"/>
    <n v="0"/>
    <s v="NO"/>
    <x v="5"/>
  </r>
  <r>
    <s v="TKT-2026-0210"/>
    <s v="Netw-LAT-0166"/>
    <d v="2026-04-06T00:00:00"/>
    <d v="2026-04-07T00:00:00"/>
    <x v="1"/>
    <x v="2"/>
    <n v="2"/>
    <n v="2"/>
    <s v="NO"/>
    <x v="5"/>
  </r>
  <r>
    <s v="TKT-2026-0211"/>
    <s v="Netw-EME-0313"/>
    <d v="2026-03-23T00:00:00"/>
    <d v="2026-03-25T00:00:00"/>
    <x v="3"/>
    <x v="3"/>
    <n v="2"/>
    <n v="3"/>
    <s v="YES"/>
    <x v="4"/>
  </r>
  <r>
    <s v="TKT-2026-0212"/>
    <s v="Prin-AME-0082"/>
    <d v="2026-03-30T00:00:00"/>
    <d v="2026-04-01T00:00:00"/>
    <x v="2"/>
    <x v="1"/>
    <n v="2"/>
    <n v="3"/>
    <s v="YES"/>
    <x v="4"/>
  </r>
  <r>
    <s v="TKT-2026-0213"/>
    <s v="Prin-EME-0488"/>
    <d v="2026-03-29T00:00:00"/>
    <d v="2026-03-30T00:00:00"/>
    <x v="2"/>
    <x v="3"/>
    <n v="2"/>
    <n v="1"/>
    <s v="NO"/>
    <x v="4"/>
  </r>
  <r>
    <s v="TKT-2026-0214"/>
    <s v="Desk-LAT-0146"/>
    <d v="2026-03-24T00:00:00"/>
    <d v="2026-03-25T00:00:00"/>
    <x v="2"/>
    <x v="2"/>
    <n v="2"/>
    <n v="2"/>
    <s v="NO"/>
    <x v="4"/>
  </r>
  <r>
    <s v="TKT-2026-0215"/>
    <s v="Prin-LAT-0113"/>
    <d v="2026-03-20T00:00:00"/>
    <d v="2026-03-21T00:00:00"/>
    <x v="4"/>
    <x v="2"/>
    <n v="2"/>
    <n v="1"/>
    <s v="NO"/>
    <x v="4"/>
  </r>
  <r>
    <s v="TKT-2026-0216"/>
    <s v="Prin-AME-0226"/>
    <d v="2026-04-05T00:00:00"/>
    <d v="2026-04-06T00:00:00"/>
    <x v="0"/>
    <x v="1"/>
    <n v="2"/>
    <n v="1"/>
    <s v="NO"/>
    <x v="5"/>
  </r>
  <r>
    <s v="TKT-2026-0217"/>
    <s v="Serv-LAT-0346"/>
    <d v="2026-03-26T00:00:00"/>
    <d v="2026-03-28T00:00:00"/>
    <x v="0"/>
    <x v="2"/>
    <n v="2"/>
    <n v="2"/>
    <s v="NO"/>
    <x v="4"/>
  </r>
  <r>
    <s v="TKT-2026-0218"/>
    <s v="Prin-AME-0022"/>
    <d v="2026-03-30T00:00:00"/>
    <d v="2026-03-31T00:00:00"/>
    <x v="4"/>
    <x v="1"/>
    <n v="2"/>
    <n v="2"/>
    <s v="NO"/>
    <x v="4"/>
  </r>
  <r>
    <s v="TKT-2026-0219"/>
    <s v="Serv-EME-0079"/>
    <d v="2026-03-13T00:00:00"/>
    <d v="2026-03-15T00:00:00"/>
    <x v="5"/>
    <x v="3"/>
    <n v="2"/>
    <n v="1"/>
    <s v="NO"/>
    <x v="4"/>
  </r>
  <r>
    <s v="TKT-2026-0220"/>
    <s v="Serv-AME-0434"/>
    <d v="2026-03-17T00:00:00"/>
    <d v="2026-03-19T00:00:00"/>
    <x v="1"/>
    <x v="1"/>
    <n v="2"/>
    <n v="3"/>
    <s v="YES"/>
    <x v="4"/>
  </r>
  <r>
    <s v="TKT-2026-0221"/>
    <s v="Mobi-AME-0321"/>
    <d v="2026-03-30T00:00:00"/>
    <d v="2026-03-31T00:00:00"/>
    <x v="5"/>
    <x v="1"/>
    <n v="2"/>
    <n v="2"/>
    <s v="NO"/>
    <x v="4"/>
  </r>
  <r>
    <s v="TKT-2026-0222"/>
    <s v="Desk-EME-0428"/>
    <d v="2026-04-09T00:00:00"/>
    <d v="2026-04-10T00:00:00"/>
    <x v="1"/>
    <x v="3"/>
    <n v="2"/>
    <n v="2"/>
    <s v="NO"/>
    <x v="5"/>
  </r>
  <r>
    <s v="TKT-2026-0223"/>
    <s v="Mobi-AME-0278"/>
    <d v="2026-03-17T00:00:00"/>
    <d v="2026-03-19T00:00:00"/>
    <x v="6"/>
    <x v="1"/>
    <n v="2"/>
    <n v="3"/>
    <s v="YES"/>
    <x v="4"/>
  </r>
  <r>
    <s v="TKT-2026-0224"/>
    <s v="Prin-AME-0156"/>
    <d v="2026-04-06T00:00:00"/>
    <d v="2026-04-07T00:00:00"/>
    <x v="3"/>
    <x v="1"/>
    <n v="2"/>
    <n v="2"/>
    <s v="NO"/>
    <x v="5"/>
  </r>
  <r>
    <s v="TKT-2026-0225"/>
    <s v="Lapt-EME-0520"/>
    <d v="2026-03-17T00:00:00"/>
    <d v="2026-03-19T00:00:00"/>
    <x v="2"/>
    <x v="3"/>
    <n v="2"/>
    <n v="3"/>
    <s v="YES"/>
    <x v="4"/>
  </r>
  <r>
    <s v="TKT-2026-0226"/>
    <s v="Desk-APA-0462"/>
    <d v="2026-03-12T00:00:00"/>
    <d v="2026-03-14T00:00:00"/>
    <x v="1"/>
    <x v="0"/>
    <n v="2"/>
    <n v="2"/>
    <s v="NO"/>
    <x v="4"/>
  </r>
  <r>
    <s v="TKT-2026-0227"/>
    <s v="Prin-AME-0156"/>
    <d v="2026-03-27T00:00:00"/>
    <d v="2026-03-28T00:00:00"/>
    <x v="3"/>
    <x v="1"/>
    <n v="2"/>
    <n v="1"/>
    <s v="NO"/>
    <x v="4"/>
  </r>
  <r>
    <s v="TKT-2026-0228"/>
    <s v="Netw-LAT-0418"/>
    <d v="2026-03-13T00:00:00"/>
    <d v="2026-03-15T00:00:00"/>
    <x v="1"/>
    <x v="2"/>
    <n v="2"/>
    <n v="1"/>
    <s v="NO"/>
    <x v="4"/>
  </r>
  <r>
    <s v="TKT-2026-0229"/>
    <s v="Prin-AME-0022"/>
    <d v="2026-03-26T00:00:00"/>
    <d v="2026-03-28T00:00:00"/>
    <x v="4"/>
    <x v="1"/>
    <n v="2"/>
    <n v="2"/>
    <s v="NO"/>
    <x v="4"/>
  </r>
  <r>
    <s v="TKT-2026-0230"/>
    <s v="Serv-EME-0438"/>
    <d v="2026-03-25T00:00:00"/>
    <d v="2026-03-27T00:00:00"/>
    <x v="0"/>
    <x v="3"/>
    <n v="2"/>
    <n v="3"/>
    <s v="YES"/>
    <x v="4"/>
  </r>
  <r>
    <s v="TKT-2026-0231"/>
    <s v="Desk-APA-0097"/>
    <d v="2026-03-22T00:00:00"/>
    <d v="2026-03-23T00:00:00"/>
    <x v="3"/>
    <x v="0"/>
    <n v="2"/>
    <n v="1"/>
    <s v="NO"/>
    <x v="4"/>
  </r>
  <r>
    <s v="TKT-2026-0232"/>
    <s v="Prin-AME-0406"/>
    <d v="2026-03-23T00:00:00"/>
    <d v="2026-03-25T00:00:00"/>
    <x v="6"/>
    <x v="1"/>
    <n v="2"/>
    <n v="3"/>
    <s v="YES"/>
    <x v="4"/>
  </r>
  <r>
    <s v="TKT-2026-0233"/>
    <s v="Desk-APA-0315"/>
    <d v="2026-03-30T00:00:00"/>
    <d v="2026-03-31T00:00:00"/>
    <x v="6"/>
    <x v="0"/>
    <n v="2"/>
    <n v="2"/>
    <s v="NO"/>
    <x v="4"/>
  </r>
  <r>
    <s v="TKT-2026-0234"/>
    <s v="Serv-APA-0093"/>
    <d v="2026-03-28T00:00:00"/>
    <d v="2026-03-30T00:00:00"/>
    <x v="4"/>
    <x v="0"/>
    <n v="2"/>
    <n v="1"/>
    <s v="NO"/>
    <x v="4"/>
  </r>
  <r>
    <s v="TKT-2026-0235"/>
    <s v="Serv-APA-0501"/>
    <d v="2026-03-12T00:00:00"/>
    <d v="2026-03-14T00:00:00"/>
    <x v="3"/>
    <x v="0"/>
    <n v="2"/>
    <n v="2"/>
    <s v="NO"/>
    <x v="4"/>
  </r>
  <r>
    <s v="TKT-2026-0236"/>
    <s v="Serv-EME-0413"/>
    <d v="2026-04-07T00:00:00"/>
    <d v="2026-04-08T00:00:00"/>
    <x v="6"/>
    <x v="3"/>
    <n v="2"/>
    <n v="2"/>
    <s v="NO"/>
    <x v="5"/>
  </r>
  <r>
    <s v="TKT-2026-0237"/>
    <s v="Desk-LAT-0027"/>
    <d v="2026-03-18T00:00:00"/>
    <d v="2026-03-20T00:00:00"/>
    <x v="5"/>
    <x v="2"/>
    <n v="2"/>
    <n v="3"/>
    <s v="YES"/>
    <x v="4"/>
  </r>
  <r>
    <s v="TKT-2026-0238"/>
    <s v="Lapt-AME-0038"/>
    <d v="2026-03-31T00:00:00"/>
    <d v="2026-04-01T00:00:00"/>
    <x v="4"/>
    <x v="1"/>
    <n v="2"/>
    <n v="2"/>
    <s v="NO"/>
    <x v="4"/>
  </r>
  <r>
    <s v="TKT-2026-0239"/>
    <s v="Mobi-AME-0475"/>
    <d v="2026-03-25T00:00:00"/>
    <d v="2026-03-27T00:00:00"/>
    <x v="0"/>
    <x v="1"/>
    <n v="2"/>
    <n v="3"/>
    <s v="YES"/>
    <x v="4"/>
  </r>
  <r>
    <s v="TKT-2026-0240"/>
    <s v="Prin-AME-0237"/>
    <d v="2026-04-01T00:00:00"/>
    <d v="2026-04-03T00:00:00"/>
    <x v="5"/>
    <x v="1"/>
    <n v="2"/>
    <n v="3"/>
    <s v="YES"/>
    <x v="5"/>
  </r>
  <r>
    <s v="TKT-2026-0241"/>
    <s v="Mobi-EME-0175"/>
    <d v="2026-04-03T00:00:00"/>
    <d v="2026-04-04T00:00:00"/>
    <x v="0"/>
    <x v="3"/>
    <n v="2"/>
    <n v="1"/>
    <s v="NO"/>
    <x v="5"/>
  </r>
  <r>
    <s v="TKT-2026-0242"/>
    <s v="Prin-AME-0226"/>
    <d v="2026-03-20T00:00:00"/>
    <d v="2026-03-21T00:00:00"/>
    <x v="0"/>
    <x v="1"/>
    <n v="2"/>
    <n v="1"/>
    <s v="NO"/>
    <x v="4"/>
  </r>
  <r>
    <s v="TKT-2026-0243"/>
    <s v="Prin-AME-0298"/>
    <d v="2026-03-22T00:00:00"/>
    <d v="2026-03-24T00:00:00"/>
    <x v="6"/>
    <x v="1"/>
    <n v="2"/>
    <n v="2"/>
    <s v="NO"/>
    <x v="4"/>
  </r>
  <r>
    <s v="TKT-2026-0244"/>
    <s v="Lapt-APA-0316"/>
    <d v="2026-03-31T00:00:00"/>
    <d v="2026-04-02T00:00:00"/>
    <x v="6"/>
    <x v="0"/>
    <n v="2"/>
    <n v="3"/>
    <s v="YES"/>
    <x v="4"/>
  </r>
  <r>
    <s v="TKT-2026-0245"/>
    <s v="Desk-AME-0199"/>
    <d v="2026-03-27T00:00:00"/>
    <d v="2026-03-28T00:00:00"/>
    <x v="3"/>
    <x v="1"/>
    <n v="2"/>
    <n v="1"/>
    <s v="NO"/>
    <x v="4"/>
  </r>
  <r>
    <s v="TKT-2026-0246"/>
    <s v="Serv-AME-0103"/>
    <d v="2026-03-14T00:00:00"/>
    <d v="2026-03-15T00:00:00"/>
    <x v="4"/>
    <x v="1"/>
    <n v="2"/>
    <n v="0"/>
    <s v="NO"/>
    <x v="4"/>
  </r>
  <r>
    <s v="TKT-2026-0247"/>
    <s v="Desk-EME-0372"/>
    <d v="2026-03-13T00:00:00"/>
    <d v="2026-03-15T00:00:00"/>
    <x v="3"/>
    <x v="3"/>
    <n v="2"/>
    <n v="1"/>
    <s v="NO"/>
    <x v="4"/>
  </r>
  <r>
    <s v="TKT-2026-0248"/>
    <s v="Desk-LAT-0381"/>
    <d v="2026-03-26T00:00:00"/>
    <d v="2026-03-28T00:00:00"/>
    <x v="3"/>
    <x v="2"/>
    <n v="2"/>
    <n v="2"/>
    <s v="NO"/>
    <x v="4"/>
  </r>
  <r>
    <s v="TKT-2026-0249"/>
    <s v="Lapt-EME-0354"/>
    <d v="2026-03-29T00:00:00"/>
    <d v="2026-03-30T00:00:00"/>
    <x v="5"/>
    <x v="3"/>
    <n v="2"/>
    <n v="1"/>
    <s v="NO"/>
    <x v="4"/>
  </r>
  <r>
    <s v="TKT-2026-0250"/>
    <s v="Mobi-EME-0456"/>
    <d v="2026-03-23T00:00:00"/>
    <d v="2026-03-25T00:00:00"/>
    <x v="5"/>
    <x v="3"/>
    <n v="2"/>
    <n v="3"/>
    <s v="YES"/>
    <x v="4"/>
  </r>
  <r>
    <s v="TKT-2026-0251"/>
    <s v="Prin-AME-0302"/>
    <d v="2026-03-22T00:00:00"/>
    <d v="2026-03-23T00:00:00"/>
    <x v="3"/>
    <x v="1"/>
    <n v="2"/>
    <n v="1"/>
    <s v="NO"/>
    <x v="4"/>
  </r>
  <r>
    <s v="TKT-2026-0252"/>
    <s v="Mobi-EME-0328"/>
    <d v="2026-04-09T00:00:00"/>
    <d v="2026-04-10T00:00:00"/>
    <x v="4"/>
    <x v="3"/>
    <n v="2"/>
    <n v="2"/>
    <s v="NO"/>
    <x v="5"/>
  </r>
  <r>
    <s v="TKT-2026-0253"/>
    <s v="Prin-AME-0082"/>
    <d v="2026-03-19T00:00:00"/>
    <d v="2026-03-20T00:00:00"/>
    <x v="2"/>
    <x v="1"/>
    <n v="2"/>
    <n v="2"/>
    <s v="NO"/>
    <x v="4"/>
  </r>
  <r>
    <s v="TKT-2026-0254"/>
    <s v="Serv-EME-0185"/>
    <d v="2026-03-31T00:00:00"/>
    <d v="2026-04-02T00:00:00"/>
    <x v="6"/>
    <x v="3"/>
    <n v="2"/>
    <n v="3"/>
    <s v="YES"/>
    <x v="4"/>
  </r>
  <r>
    <s v="TKT-2026-0255"/>
    <s v="Serv-LAT-0190"/>
    <d v="2026-04-07T00:00:00"/>
    <d v="2026-04-08T00:00:00"/>
    <x v="2"/>
    <x v="2"/>
    <n v="2"/>
    <n v="2"/>
    <s v="NO"/>
    <x v="5"/>
  </r>
  <r>
    <s v="TKT-2026-0256"/>
    <s v="Lapt-LAT-0180"/>
    <d v="2026-03-25T00:00:00"/>
    <d v="2026-03-26T00:00:00"/>
    <x v="5"/>
    <x v="2"/>
    <n v="2"/>
    <n v="2"/>
    <s v="NO"/>
    <x v="4"/>
  </r>
  <r>
    <s v="TKT-2026-0257"/>
    <s v="Mobi-AME-0142"/>
    <d v="2026-03-27T00:00:00"/>
    <d v="2026-03-28T00:00:00"/>
    <x v="2"/>
    <x v="1"/>
    <n v="2"/>
    <n v="1"/>
    <s v="NO"/>
    <x v="4"/>
  </r>
  <r>
    <s v="TKT-2026-0258"/>
    <s v="Prin-LAT-0487"/>
    <d v="2026-03-30T00:00:00"/>
    <d v="2026-04-01T00:00:00"/>
    <x v="2"/>
    <x v="2"/>
    <n v="2"/>
    <n v="3"/>
    <s v="YES"/>
    <x v="4"/>
  </r>
  <r>
    <s v="TKT-2026-0259"/>
    <s v="Mobi-APA-0494"/>
    <d v="2026-03-24T00:00:00"/>
    <d v="2026-03-26T00:00:00"/>
    <x v="6"/>
    <x v="0"/>
    <n v="2"/>
    <n v="3"/>
    <s v="YES"/>
    <x v="4"/>
  </r>
  <r>
    <s v="TKT-2026-0260"/>
    <s v="Lapt-AME-0170"/>
    <d v="2026-04-01T00:00:00"/>
    <d v="2026-04-03T00:00:00"/>
    <x v="6"/>
    <x v="1"/>
    <n v="2"/>
    <n v="3"/>
    <s v="YES"/>
    <x v="5"/>
  </r>
  <r>
    <s v="TKT-2026-0261"/>
    <s v="Lapt-APA-0205"/>
    <d v="2026-03-12T00:00:00"/>
    <d v="2026-03-14T00:00:00"/>
    <x v="0"/>
    <x v="0"/>
    <n v="2"/>
    <n v="2"/>
    <s v="NO"/>
    <x v="4"/>
  </r>
  <r>
    <s v="TKT-2026-0262"/>
    <s v="Lapt-AME-0331"/>
    <d v="2026-03-15T00:00:00"/>
    <d v="2026-03-16T00:00:00"/>
    <x v="1"/>
    <x v="1"/>
    <n v="2"/>
    <n v="1"/>
    <s v="NO"/>
    <x v="4"/>
  </r>
  <r>
    <s v="TKT-2026-0263"/>
    <s v="Prin-APA-0465"/>
    <d v="2026-03-30T00:00:00"/>
    <d v="2026-03-31T00:00:00"/>
    <x v="5"/>
    <x v="0"/>
    <n v="2"/>
    <n v="2"/>
    <s v="NO"/>
    <x v="4"/>
  </r>
  <r>
    <s v="TKT-2026-0264"/>
    <s v="Serv-AME-0448"/>
    <d v="2026-04-04T00:00:00"/>
    <d v="2026-04-05T00:00:00"/>
    <x v="5"/>
    <x v="1"/>
    <n v="2"/>
    <n v="0"/>
    <s v="NO"/>
    <x v="5"/>
  </r>
  <r>
    <s v="TKT-2026-0265"/>
    <s v="Desk-LAT-0201"/>
    <d v="2026-04-07T00:00:00"/>
    <d v="2026-04-09T00:00:00"/>
    <x v="5"/>
    <x v="2"/>
    <n v="2"/>
    <n v="3"/>
    <s v="YES"/>
    <x v="5"/>
  </r>
  <r>
    <s v="TKT-2026-0266"/>
    <s v="Serv-LAT-0385"/>
    <d v="2026-04-07T00:00:00"/>
    <d v="2026-04-09T00:00:00"/>
    <x v="0"/>
    <x v="2"/>
    <n v="2"/>
    <n v="3"/>
    <s v="YES"/>
    <x v="5"/>
  </r>
  <r>
    <s v="TKT-2026-0267"/>
    <s v="Netw-APA-0343"/>
    <d v="2026-04-10T00:00:00"/>
    <d v="2026-04-11T00:00:00"/>
    <x v="4"/>
    <x v="0"/>
    <n v="2"/>
    <n v="1"/>
    <s v="NO"/>
    <x v="5"/>
  </r>
  <r>
    <s v="TKT-2026-0268"/>
    <s v="Prin-AME-0383"/>
    <d v="2026-03-25T00:00:00"/>
    <d v="2026-03-26T00:00:00"/>
    <x v="5"/>
    <x v="1"/>
    <n v="2"/>
    <n v="2"/>
    <s v="NO"/>
    <x v="4"/>
  </r>
  <r>
    <s v="TKT-2026-0269"/>
    <s v="Lapt-APA-0257"/>
    <d v="2026-03-25T00:00:00"/>
    <d v="2026-03-26T00:00:00"/>
    <x v="6"/>
    <x v="0"/>
    <n v="2"/>
    <n v="2"/>
    <s v="NO"/>
    <x v="4"/>
  </r>
  <r>
    <s v="TKT-2026-0270"/>
    <s v="Desk-EME-0306"/>
    <d v="2026-04-01T00:00:00"/>
    <d v="2026-04-03T00:00:00"/>
    <x v="6"/>
    <x v="3"/>
    <n v="2"/>
    <n v="3"/>
    <s v="YES"/>
    <x v="5"/>
  </r>
  <r>
    <s v="TKT-2026-0271"/>
    <s v="Mobi-AME-0054"/>
    <d v="2026-03-15T00:00:00"/>
    <d v="2026-03-16T00:00:00"/>
    <x v="0"/>
    <x v="1"/>
    <n v="2"/>
    <n v="1"/>
    <s v="NO"/>
    <x v="4"/>
  </r>
  <r>
    <s v="TKT-2026-0272"/>
    <s v="Netw-LAT-0088"/>
    <d v="2026-04-01T00:00:00"/>
    <d v="2026-04-02T00:00:00"/>
    <x v="0"/>
    <x v="2"/>
    <n v="2"/>
    <n v="2"/>
    <s v="NO"/>
    <x v="5"/>
  </r>
  <r>
    <s v="TKT-2026-0273"/>
    <s v="Prin-AME-0226"/>
    <d v="2026-03-24T00:00:00"/>
    <d v="2026-03-25T00:00:00"/>
    <x v="0"/>
    <x v="1"/>
    <n v="2"/>
    <n v="2"/>
    <s v="NO"/>
    <x v="4"/>
  </r>
  <r>
    <s v="TKT-2026-0274"/>
    <s v="Mobi-APA-0325"/>
    <d v="2026-04-01T00:00:00"/>
    <d v="2026-04-02T00:00:00"/>
    <x v="2"/>
    <x v="0"/>
    <n v="2"/>
    <n v="2"/>
    <s v="NO"/>
    <x v="5"/>
  </r>
  <r>
    <s v="TKT-2026-0275"/>
    <s v="Desk-LAT-0107"/>
    <d v="2026-03-13T00:00:00"/>
    <d v="2026-03-14T00:00:00"/>
    <x v="5"/>
    <x v="2"/>
    <n v="2"/>
    <n v="1"/>
    <s v="NO"/>
    <x v="4"/>
  </r>
  <r>
    <s v="TKT-2026-0276"/>
    <s v="Netw-APA-0508"/>
    <d v="2026-03-17T00:00:00"/>
    <d v="2026-03-19T00:00:00"/>
    <x v="0"/>
    <x v="0"/>
    <n v="2"/>
    <n v="3"/>
    <s v="YES"/>
    <x v="4"/>
  </r>
  <r>
    <s v="TKT-2026-0277"/>
    <s v="Mobi-APA-0394"/>
    <d v="2026-04-10T00:00:00"/>
    <d v="2026-04-12T00:00:00"/>
    <x v="6"/>
    <x v="0"/>
    <n v="2"/>
    <n v="1"/>
    <s v="NO"/>
    <x v="5"/>
  </r>
  <r>
    <s v="TKT-2026-0278"/>
    <s v="Netw-EME-0366"/>
    <d v="2026-03-19T00:00:00"/>
    <d v="2026-03-21T00:00:00"/>
    <x v="0"/>
    <x v="3"/>
    <n v="2"/>
    <n v="2"/>
    <s v="NO"/>
    <x v="4"/>
  </r>
  <r>
    <s v="TKT-2026-0279"/>
    <s v="Serv-APA-0031"/>
    <d v="2026-03-14T00:00:00"/>
    <d v="2026-03-16T00:00:00"/>
    <x v="3"/>
    <x v="0"/>
    <n v="2"/>
    <n v="1"/>
    <s v="NO"/>
    <x v="4"/>
  </r>
  <r>
    <s v="TKT-2026-0280"/>
    <s v="Netw-AME-0516"/>
    <d v="2026-04-04T00:00:00"/>
    <d v="2026-04-05T00:00:00"/>
    <x v="6"/>
    <x v="1"/>
    <n v="2"/>
    <n v="0"/>
    <s v="NO"/>
    <x v="5"/>
  </r>
  <r>
    <s v="TKT-2026-0281"/>
    <s v="Desk-LAT-0244"/>
    <d v="2026-04-03T00:00:00"/>
    <d v="2026-04-04T00:00:00"/>
    <x v="2"/>
    <x v="2"/>
    <n v="2"/>
    <n v="1"/>
    <s v="NO"/>
    <x v="5"/>
  </r>
  <r>
    <s v="TKT-2026-0282"/>
    <s v="Mobi-APA-0325"/>
    <d v="2026-03-30T00:00:00"/>
    <d v="2026-03-31T00:00:00"/>
    <x v="2"/>
    <x v="0"/>
    <n v="2"/>
    <n v="2"/>
    <s v="NO"/>
    <x v="4"/>
  </r>
  <r>
    <s v="TKT-2026-0283"/>
    <s v="Serv-EME-0052"/>
    <d v="2026-03-30T00:00:00"/>
    <d v="2026-03-31T00:00:00"/>
    <x v="6"/>
    <x v="3"/>
    <n v="2"/>
    <n v="2"/>
    <s v="NO"/>
    <x v="4"/>
  </r>
  <r>
    <s v="TKT-2026-0284"/>
    <s v="Desk-AME-0387"/>
    <d v="2026-03-23T00:00:00"/>
    <d v="2026-03-25T00:00:00"/>
    <x v="3"/>
    <x v="1"/>
    <n v="2"/>
    <n v="3"/>
    <s v="YES"/>
    <x v="4"/>
  </r>
  <r>
    <s v="TKT-2026-0285"/>
    <s v="Serv-APA-0453"/>
    <d v="2026-03-17T00:00:00"/>
    <d v="2026-03-18T00:00:00"/>
    <x v="2"/>
    <x v="0"/>
    <n v="2"/>
    <n v="2"/>
    <s v="NO"/>
    <x v="4"/>
  </r>
  <r>
    <s v="TKT-2026-0286"/>
    <s v="Prin-EME-0488"/>
    <d v="2026-03-19T00:00:00"/>
    <d v="2026-03-21T00:00:00"/>
    <x v="2"/>
    <x v="3"/>
    <n v="2"/>
    <n v="2"/>
    <s v="NO"/>
    <x v="4"/>
  </r>
  <r>
    <s v="TKT-2026-0287"/>
    <s v="Netw-AME-0309"/>
    <d v="2026-03-27T00:00:00"/>
    <d v="2026-03-28T00:00:00"/>
    <x v="2"/>
    <x v="1"/>
    <n v="2"/>
    <n v="1"/>
    <s v="NO"/>
    <x v="4"/>
  </r>
  <r>
    <s v="TKT-2026-0288"/>
    <s v="Desk-AME-0196"/>
    <d v="2026-04-03T00:00:00"/>
    <d v="2026-04-05T00:00:00"/>
    <x v="3"/>
    <x v="1"/>
    <n v="2"/>
    <n v="1"/>
    <s v="NO"/>
    <x v="5"/>
  </r>
  <r>
    <s v="TKT-2026-0289"/>
    <s v="Netw-AME-0357"/>
    <d v="2026-03-12T00:00:00"/>
    <d v="2026-03-14T00:00:00"/>
    <x v="1"/>
    <x v="1"/>
    <n v="2"/>
    <n v="2"/>
    <s v="NO"/>
    <x v="4"/>
  </r>
  <r>
    <s v="TKT-2026-0290"/>
    <s v="Mobi-AME-0511"/>
    <d v="2026-04-09T00:00:00"/>
    <d v="2026-04-10T00:00:00"/>
    <x v="3"/>
    <x v="1"/>
    <n v="2"/>
    <n v="2"/>
    <s v="NO"/>
    <x v="5"/>
  </r>
  <r>
    <s v="TKT-2026-0291"/>
    <s v="Desk-EME-0192"/>
    <d v="2026-03-21T00:00:00"/>
    <d v="2026-03-23T00:00:00"/>
    <x v="4"/>
    <x v="3"/>
    <n v="2"/>
    <n v="1"/>
    <s v="NO"/>
    <x v="4"/>
  </r>
  <r>
    <s v="TKT-2026-0292"/>
    <s v="Prin-LAT-0425"/>
    <d v="2026-04-09T00:00:00"/>
    <d v="2026-04-11T00:00:00"/>
    <x v="5"/>
    <x v="2"/>
    <n v="2"/>
    <n v="2"/>
    <s v="NO"/>
    <x v="5"/>
  </r>
  <r>
    <s v="TKT-2026-0293"/>
    <s v="Lapt-AME-0214"/>
    <d v="2026-03-20T00:00:00"/>
    <d v="2026-03-21T00:00:00"/>
    <x v="3"/>
    <x v="1"/>
    <n v="2"/>
    <n v="1"/>
    <s v="NO"/>
    <x v="4"/>
  </r>
  <r>
    <s v="TKT-2026-0294"/>
    <s v="Prin-LAT-0100"/>
    <d v="2026-04-05T00:00:00"/>
    <d v="2026-04-07T00:00:00"/>
    <x v="1"/>
    <x v="2"/>
    <n v="2"/>
    <n v="2"/>
    <s v="NO"/>
    <x v="5"/>
  </r>
  <r>
    <s v="TKT-2026-0295"/>
    <s v="Netw-LAT-0418"/>
    <d v="2026-03-18T00:00:00"/>
    <d v="2026-03-20T00:00:00"/>
    <x v="1"/>
    <x v="2"/>
    <n v="2"/>
    <n v="3"/>
    <s v="YES"/>
    <x v="4"/>
  </r>
  <r>
    <s v="TKT-2026-0296"/>
    <s v="Lapt-APA-0104"/>
    <d v="2026-04-02T00:00:00"/>
    <d v="2026-04-04T00:00:00"/>
    <x v="0"/>
    <x v="0"/>
    <n v="2"/>
    <n v="2"/>
    <s v="NO"/>
    <x v="5"/>
  </r>
  <r>
    <s v="TKT-2026-0297"/>
    <s v="Desk-APA-0480"/>
    <d v="2026-03-17T00:00:00"/>
    <d v="2026-03-19T00:00:00"/>
    <x v="5"/>
    <x v="0"/>
    <n v="2"/>
    <n v="3"/>
    <s v="YES"/>
    <x v="4"/>
  </r>
  <r>
    <s v="TKT-2026-0298"/>
    <s v="Mobi-LAT-0332"/>
    <d v="2026-04-09T00:00:00"/>
    <d v="2026-04-10T00:00:00"/>
    <x v="5"/>
    <x v="2"/>
    <n v="2"/>
    <n v="2"/>
    <s v="NO"/>
    <x v="5"/>
  </r>
  <r>
    <s v="TKT-2026-0299"/>
    <s v="Netw-EME-0029"/>
    <d v="2026-04-04T00:00:00"/>
    <d v="2026-04-06T00:00:00"/>
    <x v="3"/>
    <x v="3"/>
    <n v="2"/>
    <n v="1"/>
    <s v="NO"/>
    <x v="5"/>
  </r>
  <r>
    <s v="TKT-2026-0300"/>
    <s v="Serv-APA-0283"/>
    <d v="2026-03-23T00:00:00"/>
    <d v="2026-03-24T00:00:00"/>
    <x v="5"/>
    <x v="0"/>
    <n v="2"/>
    <n v="2"/>
    <s v="NO"/>
    <x v="4"/>
  </r>
  <r>
    <s v="TKT-2026-0301"/>
    <s v="Lapt-LAT-0180"/>
    <d v="2026-03-31T00:00:00"/>
    <d v="2026-04-02T00:00:00"/>
    <x v="5"/>
    <x v="2"/>
    <n v="2"/>
    <n v="3"/>
    <s v="YES"/>
    <x v="4"/>
  </r>
  <r>
    <s v="TKT-2026-0302"/>
    <s v="Desk-EME-0428"/>
    <d v="2026-03-30T00:00:00"/>
    <d v="2026-03-31T00:00:00"/>
    <x v="1"/>
    <x v="3"/>
    <n v="2"/>
    <n v="2"/>
    <s v="NO"/>
    <x v="4"/>
  </r>
  <r>
    <s v="TKT-2026-0303"/>
    <s v="Desk-LAT-0287"/>
    <d v="2026-03-20T00:00:00"/>
    <d v="2026-03-21T00:00:00"/>
    <x v="5"/>
    <x v="2"/>
    <n v="2"/>
    <n v="1"/>
    <s v="NO"/>
    <x v="4"/>
  </r>
  <r>
    <s v="TKT-2026-0304"/>
    <s v="Mobi-LAT-0347"/>
    <d v="2026-04-03T00:00:00"/>
    <d v="2026-04-04T00:00:00"/>
    <x v="3"/>
    <x v="2"/>
    <n v="2"/>
    <n v="1"/>
    <s v="NO"/>
    <x v="5"/>
  </r>
  <r>
    <s v="TKT-2026-0305"/>
    <s v="Desk-LAT-0080"/>
    <d v="2026-04-01T00:00:00"/>
    <d v="2026-04-02T00:00:00"/>
    <x v="3"/>
    <x v="2"/>
    <n v="2"/>
    <n v="2"/>
    <s v="NO"/>
    <x v="5"/>
  </r>
  <r>
    <s v="TKT-2026-0306"/>
    <s v="Mobi-AME-0384"/>
    <d v="2026-03-29T00:00:00"/>
    <d v="2026-03-31T00:00:00"/>
    <x v="4"/>
    <x v="1"/>
    <n v="2"/>
    <n v="2"/>
    <s v="NO"/>
    <x v="4"/>
  </r>
  <r>
    <s v="TKT-2026-0307"/>
    <s v="Netw-AME-0373"/>
    <d v="2026-03-15T00:00:00"/>
    <d v="2026-03-16T00:00:00"/>
    <x v="4"/>
    <x v="1"/>
    <n v="2"/>
    <n v="1"/>
    <s v="NO"/>
    <x v="4"/>
  </r>
  <r>
    <s v="TKT-2026-0308"/>
    <s v="Mobi-APA-0187"/>
    <d v="2026-03-27T00:00:00"/>
    <d v="2026-03-28T00:00:00"/>
    <x v="4"/>
    <x v="0"/>
    <n v="2"/>
    <n v="1"/>
    <s v="NO"/>
    <x v="4"/>
  </r>
  <r>
    <s v="TKT-2026-0309"/>
    <s v="Mobi-AME-0278"/>
    <d v="2026-03-24T00:00:00"/>
    <d v="2026-03-25T00:00:00"/>
    <x v="6"/>
    <x v="1"/>
    <n v="2"/>
    <n v="2"/>
    <s v="NO"/>
    <x v="4"/>
  </r>
  <r>
    <s v="TKT-2026-0310"/>
    <s v="Prin-AME-0075"/>
    <d v="2026-04-10T00:00:00"/>
    <d v="2026-04-11T00:00:00"/>
    <x v="6"/>
    <x v="1"/>
    <n v="2"/>
    <n v="1"/>
    <s v="NO"/>
    <x v="5"/>
  </r>
  <r>
    <s v="TKT-2026-0311"/>
    <s v="Prin-EME-0502"/>
    <d v="2026-03-29T00:00:00"/>
    <d v="2026-03-31T00:00:00"/>
    <x v="6"/>
    <x v="3"/>
    <n v="2"/>
    <n v="2"/>
    <s v="NO"/>
    <x v="4"/>
  </r>
  <r>
    <s v="TKT-2026-0312"/>
    <s v="Desk-APA-0420"/>
    <d v="2026-03-27T00:00:00"/>
    <d v="2026-03-28T00:00:00"/>
    <x v="3"/>
    <x v="0"/>
    <n v="2"/>
    <n v="1"/>
    <s v="NO"/>
    <x v="4"/>
  </r>
  <r>
    <s v="TKT-2026-0313"/>
    <s v="Mobi-APA-0518"/>
    <d v="2026-04-08T00:00:00"/>
    <d v="2026-04-10T00:00:00"/>
    <x v="4"/>
    <x v="0"/>
    <n v="2"/>
    <n v="3"/>
    <s v="YES"/>
    <x v="5"/>
  </r>
  <r>
    <s v="TKT-2026-0314"/>
    <s v="Netw-APA-0068"/>
    <d v="2026-04-08T00:00:00"/>
    <d v="2026-04-09T00:00:00"/>
    <x v="3"/>
    <x v="0"/>
    <n v="2"/>
    <n v="2"/>
    <s v="NO"/>
    <x v="5"/>
  </r>
  <r>
    <s v="TKT-2026-0315"/>
    <s v="Lapt-AME-0482"/>
    <d v="2026-03-29T00:00:00"/>
    <d v="2026-03-31T00:00:00"/>
    <x v="2"/>
    <x v="1"/>
    <n v="2"/>
    <n v="2"/>
    <s v="NO"/>
    <x v="4"/>
  </r>
  <r>
    <s v="TKT-2026-0316"/>
    <s v="Netw-LAT-0140"/>
    <d v="2026-04-06T00:00:00"/>
    <d v="2026-04-08T00:00:00"/>
    <x v="4"/>
    <x v="2"/>
    <n v="2"/>
    <n v="3"/>
    <s v="YES"/>
    <x v="5"/>
  </r>
  <r>
    <s v="TKT-2026-0317"/>
    <s v="Lapt-LAT-0119"/>
    <d v="2026-04-04T00:00:00"/>
    <d v="2026-04-06T00:00:00"/>
    <x v="3"/>
    <x v="2"/>
    <n v="2"/>
    <n v="1"/>
    <s v="NO"/>
    <x v="5"/>
  </r>
  <r>
    <s v="TKT-2026-0318"/>
    <s v="Mobi-AME-0475"/>
    <d v="2026-04-04T00:00:00"/>
    <d v="2026-04-05T00:00:00"/>
    <x v="0"/>
    <x v="1"/>
    <n v="2"/>
    <n v="0"/>
    <s v="NO"/>
    <x v="5"/>
  </r>
  <r>
    <s v="TKT-2026-0319"/>
    <s v="Serv-AME-0489"/>
    <d v="2026-03-20T00:00:00"/>
    <d v="2026-03-21T00:00:00"/>
    <x v="6"/>
    <x v="1"/>
    <n v="2"/>
    <n v="1"/>
    <s v="NO"/>
    <x v="4"/>
  </r>
  <r>
    <s v="TKT-2026-0320"/>
    <s v="Prin-APA-0513"/>
    <d v="2026-03-28T00:00:00"/>
    <d v="2026-03-29T00:00:00"/>
    <x v="4"/>
    <x v="0"/>
    <n v="2"/>
    <n v="0"/>
    <s v="NO"/>
    <x v="4"/>
  </r>
  <r>
    <s v="TKT-2026-0321"/>
    <s v="Netw-LAT-0108"/>
    <d v="2026-03-29T00:00:00"/>
    <d v="2026-03-30T00:00:00"/>
    <x v="1"/>
    <x v="2"/>
    <n v="2"/>
    <n v="1"/>
    <s v="NO"/>
    <x v="4"/>
  </r>
  <r>
    <s v="TKT-2026-0322"/>
    <s v="Serv-APA-0453"/>
    <d v="2026-03-28T00:00:00"/>
    <d v="2026-03-29T00:00:00"/>
    <x v="2"/>
    <x v="0"/>
    <n v="2"/>
    <n v="0"/>
    <s v="NO"/>
    <x v="4"/>
  </r>
  <r>
    <s v="TKT-2026-0323"/>
    <s v="Serv-EME-0404"/>
    <d v="2026-04-10T00:00:00"/>
    <d v="2026-04-12T00:00:00"/>
    <x v="5"/>
    <x v="3"/>
    <n v="2"/>
    <n v="1"/>
    <s v="NO"/>
    <x v="5"/>
  </r>
  <r>
    <s v="TKT-2026-0324"/>
    <s v="Serv-LAT-0190"/>
    <d v="2026-03-16T00:00:00"/>
    <d v="2026-03-17T00:00:00"/>
    <x v="2"/>
    <x v="2"/>
    <n v="2"/>
    <n v="2"/>
    <s v="NO"/>
    <x v="4"/>
  </r>
  <r>
    <s v="TKT-2026-0325"/>
    <s v="Netw-EME-0293"/>
    <d v="2026-04-02T00:00:00"/>
    <d v="2026-04-04T00:00:00"/>
    <x v="2"/>
    <x v="3"/>
    <n v="2"/>
    <n v="2"/>
    <s v="NO"/>
    <x v="5"/>
  </r>
  <r>
    <s v="TKT-2026-0326"/>
    <s v="Mobi-EME-0443"/>
    <d v="2026-03-30T00:00:00"/>
    <d v="2026-03-31T00:00:00"/>
    <x v="4"/>
    <x v="3"/>
    <n v="2"/>
    <n v="2"/>
    <s v="NO"/>
    <x v="4"/>
  </r>
  <r>
    <s v="TKT-2026-0327"/>
    <s v="Prin-APA-0330"/>
    <d v="2026-03-23T00:00:00"/>
    <d v="2026-03-24T00:00:00"/>
    <x v="3"/>
    <x v="0"/>
    <n v="2"/>
    <n v="2"/>
    <s v="NO"/>
    <x v="4"/>
  </r>
  <r>
    <s v="TKT-2026-0328"/>
    <s v="Lapt-AME-0204"/>
    <d v="2026-04-08T00:00:00"/>
    <d v="2026-04-09T00:00:00"/>
    <x v="5"/>
    <x v="1"/>
    <n v="2"/>
    <n v="2"/>
    <s v="NO"/>
    <x v="5"/>
  </r>
  <r>
    <s v="TKT-2026-0329"/>
    <s v="Desk-APA-0096"/>
    <d v="2026-03-24T00:00:00"/>
    <d v="2026-03-26T00:00:00"/>
    <x v="2"/>
    <x v="0"/>
    <n v="2"/>
    <n v="3"/>
    <s v="YES"/>
    <x v="4"/>
  </r>
  <r>
    <s v="TKT-2026-0330"/>
    <s v="Lapt-APA-0371"/>
    <d v="2026-03-21T00:00:00"/>
    <d v="2026-03-23T00:00:00"/>
    <x v="4"/>
    <x v="0"/>
    <n v="2"/>
    <n v="1"/>
    <s v="NO"/>
    <x v="4"/>
  </r>
  <r>
    <s v="TKT-2026-0331"/>
    <s v="Desk-EME-0192"/>
    <d v="2026-03-14T00:00:00"/>
    <d v="2026-03-16T00:00:00"/>
    <x v="4"/>
    <x v="3"/>
    <n v="2"/>
    <n v="1"/>
    <s v="NO"/>
    <x v="4"/>
  </r>
  <r>
    <s v="TKT-2026-0332"/>
    <s v="Mobi-AME-0161"/>
    <d v="2026-04-08T00:00:00"/>
    <d v="2026-04-10T00:00:00"/>
    <x v="1"/>
    <x v="1"/>
    <n v="2"/>
    <n v="3"/>
    <s v="YES"/>
    <x v="5"/>
  </r>
  <r>
    <s v="TKT-2026-0333"/>
    <s v="Mobi-LAT-0039"/>
    <d v="2026-03-19T00:00:00"/>
    <d v="2026-03-21T00:00:00"/>
    <x v="5"/>
    <x v="2"/>
    <n v="2"/>
    <n v="2"/>
    <s v="NO"/>
    <x v="4"/>
  </r>
  <r>
    <s v="TKT-2026-0334"/>
    <s v="Netw-EME-0066"/>
    <d v="2026-03-26T00:00:00"/>
    <d v="2026-03-28T00:00:00"/>
    <x v="0"/>
    <x v="3"/>
    <n v="2"/>
    <n v="2"/>
    <s v="NO"/>
    <x v="4"/>
  </r>
  <r>
    <s v="TKT-2026-0335"/>
    <s v="Desk-EME-0507"/>
    <d v="2026-03-16T00:00:00"/>
    <d v="2026-03-17T00:00:00"/>
    <x v="4"/>
    <x v="3"/>
    <n v="2"/>
    <n v="2"/>
    <s v="NO"/>
    <x v="4"/>
  </r>
  <r>
    <s v="TKT-2026-0336"/>
    <s v="Desk-AME-0280"/>
    <d v="2026-04-02T00:00:00"/>
    <d v="2026-04-03T00:00:00"/>
    <x v="4"/>
    <x v="1"/>
    <n v="2"/>
    <n v="2"/>
    <s v="NO"/>
    <x v="5"/>
  </r>
  <r>
    <s v="TKT-2026-0337"/>
    <s v="Desk-APA-0243"/>
    <d v="2026-03-27T00:00:00"/>
    <d v="2026-03-29T00:00:00"/>
    <x v="2"/>
    <x v="0"/>
    <n v="2"/>
    <n v="1"/>
    <s v="NO"/>
    <x v="4"/>
  </r>
  <r>
    <s v="TKT-2026-0338"/>
    <s v="Prin-LAT-0320"/>
    <d v="2026-03-28T00:00:00"/>
    <d v="2026-03-29T00:00:00"/>
    <x v="1"/>
    <x v="2"/>
    <n v="2"/>
    <n v="0"/>
    <s v="NO"/>
    <x v="4"/>
  </r>
  <r>
    <s v="TKT-2026-0339"/>
    <s v="Lapt-AME-0170"/>
    <d v="2026-03-19T00:00:00"/>
    <d v="2026-03-21T00:00:00"/>
    <x v="6"/>
    <x v="1"/>
    <n v="2"/>
    <n v="2"/>
    <s v="NO"/>
    <x v="4"/>
  </r>
  <r>
    <s v="TKT-2026-0340"/>
    <s v="Netw-AME-0441"/>
    <d v="2026-04-08T00:00:00"/>
    <d v="2026-04-09T00:00:00"/>
    <x v="0"/>
    <x v="1"/>
    <n v="2"/>
    <n v="2"/>
    <s v="NO"/>
    <x v="5"/>
  </r>
  <r>
    <s v="TKT-2026-0341"/>
    <s v="Desk-LAT-0094"/>
    <d v="2026-03-18T00:00:00"/>
    <d v="2026-03-20T00:00:00"/>
    <x v="2"/>
    <x v="2"/>
    <n v="2"/>
    <n v="3"/>
    <s v="YES"/>
    <x v="4"/>
  </r>
  <r>
    <s v="TKT-2026-0342"/>
    <s v="Netw-LAT-0447"/>
    <d v="2026-03-21T00:00:00"/>
    <d v="2026-03-23T00:00:00"/>
    <x v="3"/>
    <x v="2"/>
    <n v="2"/>
    <n v="1"/>
    <s v="NO"/>
    <x v="4"/>
  </r>
  <r>
    <s v="TKT-2026-0343"/>
    <s v="Serv-EME-0079"/>
    <d v="2026-03-31T00:00:00"/>
    <d v="2026-04-01T00:00:00"/>
    <x v="5"/>
    <x v="3"/>
    <n v="2"/>
    <n v="2"/>
    <s v="NO"/>
    <x v="4"/>
  </r>
  <r>
    <s v="TKT-2026-0344"/>
    <s v="Mobi-APA-0403"/>
    <d v="2026-03-24T00:00:00"/>
    <d v="2026-03-26T00:00:00"/>
    <x v="4"/>
    <x v="0"/>
    <n v="2"/>
    <n v="3"/>
    <s v="YES"/>
    <x v="4"/>
  </r>
  <r>
    <s v="TKT-2026-0345"/>
    <s v="Netw-APA-0122"/>
    <d v="2026-04-08T00:00:00"/>
    <d v="2026-04-10T00:00:00"/>
    <x v="1"/>
    <x v="0"/>
    <n v="2"/>
    <n v="3"/>
    <s v="YES"/>
    <x v="5"/>
  </r>
  <r>
    <s v="TKT-2026-0346"/>
    <s v="Mobi-EME-0124"/>
    <d v="2026-04-02T00:00:00"/>
    <d v="2026-04-03T00:00:00"/>
    <x v="4"/>
    <x v="3"/>
    <n v="2"/>
    <n v="2"/>
    <s v="NO"/>
    <x v="5"/>
  </r>
  <r>
    <s v="TKT-2026-0347"/>
    <s v="Mobi-AME-0147"/>
    <d v="2026-04-08T00:00:00"/>
    <d v="2026-04-09T00:00:00"/>
    <x v="3"/>
    <x v="1"/>
    <n v="2"/>
    <n v="2"/>
    <s v="NO"/>
    <x v="5"/>
  </r>
  <r>
    <s v="TKT-2026-0348"/>
    <s v="Prin-AME-0156"/>
    <d v="2026-03-28T00:00:00"/>
    <d v="2026-03-30T00:00:00"/>
    <x v="3"/>
    <x v="1"/>
    <n v="2"/>
    <n v="1"/>
    <s v="NO"/>
    <x v="4"/>
  </r>
  <r>
    <s v="TKT-2026-0349"/>
    <s v="Lapt-LAT-0362"/>
    <d v="2026-03-26T00:00:00"/>
    <d v="2026-03-28T00:00:00"/>
    <x v="0"/>
    <x v="2"/>
    <n v="2"/>
    <n v="2"/>
    <s v="NO"/>
    <x v="4"/>
  </r>
  <r>
    <s v="TKT-2026-0350"/>
    <s v="Serv-AME-0326"/>
    <d v="2026-03-20T00:00:00"/>
    <d v="2026-03-22T00:00:00"/>
    <x v="0"/>
    <x v="1"/>
    <n v="2"/>
    <n v="1"/>
    <s v="NO"/>
    <x v="4"/>
  </r>
  <r>
    <s v="TKT-2026-0351"/>
    <s v="Desk-LAT-0064"/>
    <d v="2026-03-20T00:00:00"/>
    <d v="2026-03-22T00:00:00"/>
    <x v="3"/>
    <x v="2"/>
    <n v="2"/>
    <n v="1"/>
    <s v="NO"/>
    <x v="4"/>
  </r>
  <r>
    <s v="TKT-2026-0352"/>
    <s v="Serv-APA-0401"/>
    <d v="2026-03-30T00:00:00"/>
    <d v="2026-04-01T00:00:00"/>
    <x v="0"/>
    <x v="0"/>
    <n v="2"/>
    <n v="3"/>
    <s v="YES"/>
    <x v="4"/>
  </r>
  <r>
    <s v="TKT-2026-0353"/>
    <s v="Netw-LAT-0418"/>
    <d v="2026-03-15T00:00:00"/>
    <d v="2026-03-16T00:00:00"/>
    <x v="1"/>
    <x v="2"/>
    <n v="2"/>
    <n v="1"/>
    <s v="NO"/>
    <x v="4"/>
  </r>
  <r>
    <s v="TKT-2026-0354"/>
    <s v="Lapt-AME-0233"/>
    <d v="2026-04-10T00:00:00"/>
    <d v="2026-04-12T00:00:00"/>
    <x v="3"/>
    <x v="1"/>
    <n v="2"/>
    <n v="1"/>
    <s v="NO"/>
    <x v="5"/>
  </r>
  <r>
    <s v="TKT-2026-0355"/>
    <s v="Lapt-AME-0204"/>
    <d v="2026-04-10T00:00:00"/>
    <d v="2026-04-11T00:00:00"/>
    <x v="5"/>
    <x v="1"/>
    <n v="2"/>
    <n v="1"/>
    <s v="NO"/>
    <x v="5"/>
  </r>
  <r>
    <s v="TKT-2026-0356"/>
    <s v="Serv-AME-0035"/>
    <d v="2026-03-28T00:00:00"/>
    <d v="2026-03-29T00:00:00"/>
    <x v="6"/>
    <x v="1"/>
    <n v="2"/>
    <n v="0"/>
    <s v="NO"/>
    <x v="4"/>
  </r>
  <r>
    <s v="TKT-2026-0357"/>
    <s v="Lapt-LAT-0167"/>
    <d v="2026-04-01T00:00:00"/>
    <d v="2026-04-03T00:00:00"/>
    <x v="2"/>
    <x v="2"/>
    <n v="2"/>
    <n v="3"/>
    <s v="YES"/>
    <x v="5"/>
  </r>
  <r>
    <s v="TKT-2026-0358"/>
    <s v="Desk-EME-0499"/>
    <d v="2026-03-26T00:00:00"/>
    <d v="2026-03-28T00:00:00"/>
    <x v="4"/>
    <x v="3"/>
    <n v="2"/>
    <n v="2"/>
    <s v="NO"/>
    <x v="4"/>
  </r>
  <r>
    <s v="TKT-2026-0359"/>
    <s v="Desk-AME-0056"/>
    <d v="2026-03-17T00:00:00"/>
    <d v="2026-03-19T00:00:00"/>
    <x v="4"/>
    <x v="1"/>
    <n v="2"/>
    <n v="3"/>
    <s v="YES"/>
    <x v="4"/>
  </r>
  <r>
    <s v="TKT-2026-0360"/>
    <s v="Desk-APA-0016"/>
    <d v="2026-03-19T00:00:00"/>
    <d v="2026-03-21T00:00:00"/>
    <x v="6"/>
    <x v="0"/>
    <n v="2"/>
    <n v="2"/>
    <s v="NO"/>
    <x v="4"/>
  </r>
  <r>
    <s v="TKT-2026-0361"/>
    <s v="Netw-AME-0073"/>
    <d v="2026-03-25T00:00:00"/>
    <d v="2026-03-27T00:00:00"/>
    <x v="3"/>
    <x v="1"/>
    <n v="2"/>
    <n v="3"/>
    <s v="YES"/>
    <x v="4"/>
  </r>
  <r>
    <s v="TKT-2026-0362"/>
    <s v="Lapt-LAT-0422"/>
    <d v="2026-03-26T00:00:00"/>
    <d v="2026-03-28T00:00:00"/>
    <x v="5"/>
    <x v="2"/>
    <n v="2"/>
    <n v="2"/>
    <s v="NO"/>
    <x v="4"/>
  </r>
  <r>
    <s v="TKT-2026-0363"/>
    <s v="Serv-EME-0427"/>
    <d v="2026-03-28T00:00:00"/>
    <d v="2026-03-29T00:00:00"/>
    <x v="5"/>
    <x v="3"/>
    <n v="2"/>
    <n v="0"/>
    <s v="NO"/>
    <x v="4"/>
  </r>
  <r>
    <s v="TKT-2026-0364"/>
    <s v="Prin-LAT-0067"/>
    <d v="2026-03-23T00:00:00"/>
    <d v="2026-03-24T00:00:00"/>
    <x v="5"/>
    <x v="2"/>
    <n v="2"/>
    <n v="2"/>
    <s v="NO"/>
    <x v="4"/>
  </r>
  <r>
    <s v="TKT-2026-0365"/>
    <s v="Serv-APA-0078"/>
    <d v="2026-03-31T00:00:00"/>
    <d v="2026-04-01T00:00:00"/>
    <x v="1"/>
    <x v="0"/>
    <n v="2"/>
    <n v="2"/>
    <s v="NO"/>
    <x v="4"/>
  </r>
  <r>
    <s v="TKT-2026-0366"/>
    <s v="Desk-LAT-0435"/>
    <d v="2026-03-22T00:00:00"/>
    <d v="2026-03-24T00:00:00"/>
    <x v="1"/>
    <x v="2"/>
    <n v="2"/>
    <n v="2"/>
    <s v="NO"/>
    <x v="4"/>
  </r>
  <r>
    <s v="TKT-2026-0367"/>
    <s v="Lapt-LAT-0050"/>
    <d v="2026-04-05T00:00:00"/>
    <d v="2026-04-06T00:00:00"/>
    <x v="1"/>
    <x v="2"/>
    <n v="2"/>
    <n v="1"/>
    <s v="NO"/>
    <x v="5"/>
  </r>
  <r>
    <s v="TKT-2026-0368"/>
    <s v="Desk-AME-0199"/>
    <d v="2026-03-21T00:00:00"/>
    <d v="2026-03-22T00:00:00"/>
    <x v="3"/>
    <x v="1"/>
    <n v="2"/>
    <n v="0"/>
    <s v="NO"/>
    <x v="4"/>
  </r>
  <r>
    <s v="TKT-2026-0369"/>
    <s v="Lapt-APA-0177"/>
    <d v="2026-04-03T00:00:00"/>
    <d v="2026-04-04T00:00:00"/>
    <x v="5"/>
    <x v="0"/>
    <n v="2"/>
    <n v="1"/>
    <s v="NO"/>
    <x v="5"/>
  </r>
  <r>
    <s v="TKT-2026-0370"/>
    <s v="Lapt-EME-0053"/>
    <d v="2026-03-14T00:00:00"/>
    <d v="2026-03-15T00:00:00"/>
    <x v="2"/>
    <x v="3"/>
    <n v="2"/>
    <n v="0"/>
    <s v="NO"/>
    <x v="4"/>
  </r>
  <r>
    <s v="TKT-2026-0371"/>
    <s v="Serv-AME-0131"/>
    <d v="2026-03-14T00:00:00"/>
    <d v="2026-03-15T00:00:00"/>
    <x v="4"/>
    <x v="1"/>
    <n v="2"/>
    <n v="0"/>
    <s v="NO"/>
    <x v="4"/>
  </r>
  <r>
    <s v="TKT-2026-0372"/>
    <s v="Prin-LAT-0279"/>
    <d v="2026-03-31T00:00:00"/>
    <d v="2026-04-02T00:00:00"/>
    <x v="4"/>
    <x v="2"/>
    <n v="2"/>
    <n v="3"/>
    <s v="YES"/>
    <x v="4"/>
  </r>
  <r>
    <s v="TKT-2026-0373"/>
    <s v="Desk-LAT-0086"/>
    <d v="2026-04-03T00:00:00"/>
    <d v="2026-04-04T00:00:00"/>
    <x v="5"/>
    <x v="2"/>
    <n v="2"/>
    <n v="1"/>
    <s v="NO"/>
    <x v="5"/>
  </r>
  <r>
    <s v="TKT-2026-0374"/>
    <s v="Prin-EME-0102"/>
    <d v="2026-03-18T00:00:00"/>
    <d v="2026-03-19T00:00:00"/>
    <x v="4"/>
    <x v="3"/>
    <n v="2"/>
    <n v="2"/>
    <s v="NO"/>
    <x v="4"/>
  </r>
  <r>
    <s v="TKT-2026-0375"/>
    <s v="Lapt-APA-0177"/>
    <d v="2026-03-26T00:00:00"/>
    <d v="2026-03-28T00:00:00"/>
    <x v="5"/>
    <x v="0"/>
    <n v="2"/>
    <n v="2"/>
    <s v="NO"/>
    <x v="4"/>
  </r>
  <r>
    <s v="TKT-2026-0376"/>
    <s v="Lapt-AME-0252"/>
    <d v="2026-03-22T00:00:00"/>
    <d v="2026-03-24T00:00:00"/>
    <x v="3"/>
    <x v="1"/>
    <n v="2"/>
    <n v="2"/>
    <s v="NO"/>
    <x v="4"/>
  </r>
  <r>
    <s v="TKT-2026-0377"/>
    <s v="Serv-APA-0078"/>
    <d v="2026-04-03T00:00:00"/>
    <d v="2026-04-04T00:00:00"/>
    <x v="1"/>
    <x v="0"/>
    <n v="2"/>
    <n v="1"/>
    <s v="NO"/>
    <x v="5"/>
  </r>
  <r>
    <s v="TKT-2026-0378"/>
    <s v="Serv-LAT-0411"/>
    <d v="2026-03-31T00:00:00"/>
    <d v="2026-04-02T00:00:00"/>
    <x v="4"/>
    <x v="2"/>
    <n v="2"/>
    <n v="3"/>
    <s v="YES"/>
    <x v="4"/>
  </r>
  <r>
    <s v="TKT-2026-0379"/>
    <s v="Serv-LAT-0200"/>
    <d v="2026-03-17T00:00:00"/>
    <d v="2026-03-18T00:00:00"/>
    <x v="6"/>
    <x v="2"/>
    <n v="2"/>
    <n v="2"/>
    <s v="NO"/>
    <x v="4"/>
  </r>
  <r>
    <s v="TKT-2026-0380"/>
    <s v="Desk-LAT-0483"/>
    <d v="2026-04-05T00:00:00"/>
    <d v="2026-04-07T00:00:00"/>
    <x v="4"/>
    <x v="2"/>
    <n v="2"/>
    <n v="2"/>
    <s v="NO"/>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s v="Serv-AME-0001"/>
    <s v="Server"/>
    <s v="ProLiant DL380 Gen11"/>
    <s v="SN770720"/>
    <x v="0"/>
    <s v="CT-Sams-2026-001"/>
    <d v="2024-07-11T00:00:00"/>
    <d v="2026-07-11T00:00:00"/>
    <n v="11109.06"/>
    <x v="0"/>
    <s v="Active"/>
  </r>
  <r>
    <s v="Desk-AME-0002"/>
    <s v="Desktop"/>
    <s v="MacBook Pro 16 Gen11"/>
    <s v="SN492136"/>
    <x v="0"/>
    <s v="CT-Sams-2026-002"/>
    <d v="2024-02-06T00:00:00"/>
    <d v="2025-02-06T00:00:00"/>
    <n v="883.58"/>
    <x v="0"/>
    <s v="Expired"/>
  </r>
  <r>
    <s v="Serv-APA-0003"/>
    <s v="Server"/>
    <s v="Catalyst 9300 Gen12"/>
    <s v="SN251402"/>
    <x v="1"/>
    <s v="CT-Appl-2026-003"/>
    <d v="2023-07-04T00:00:00"/>
    <d v="2026-07-04T00:00:00"/>
    <n v="7374.52"/>
    <x v="1"/>
    <s v="Active"/>
  </r>
  <r>
    <s v="Serv-APA-0004"/>
    <s v="Server"/>
    <s v="Catalyst 9300 Gen10"/>
    <s v="SN464965"/>
    <x v="2"/>
    <s v="CT-Dell-2026-004"/>
    <d v="2023-09-19T00:00:00"/>
    <d v="2026-09-19T00:00:00"/>
    <n v="10866.56"/>
    <x v="1"/>
    <s v="Active"/>
  </r>
  <r>
    <s v="Serv-AME-0005"/>
    <s v="Server"/>
    <s v="ProLiant DL380 Gen8"/>
    <s v="SN1023470"/>
    <x v="0"/>
    <s v="CT-Sams-2026-005"/>
    <d v="2023-07-18T00:00:00"/>
    <d v="2025-07-18T00:00:00"/>
    <n v="5130.16"/>
    <x v="0"/>
    <s v="Expired"/>
  </r>
  <r>
    <s v="Serv-AME-0006"/>
    <s v="Server"/>
    <s v="ThinkPad X1 Gen8"/>
    <s v="SN541081"/>
    <x v="3"/>
    <s v="CT-Leno-2026-006"/>
    <d v="2024-09-23T00:00:00"/>
    <d v="2025-09-23T00:00:00"/>
    <n v="9826.73"/>
    <x v="0"/>
    <s v="Expired"/>
  </r>
  <r>
    <s v="Desk-APA-0007"/>
    <s v="Desktop"/>
    <s v="Latitude 5430 Gen10"/>
    <s v="SN1042591"/>
    <x v="3"/>
    <s v="CT-Leno-2026-007"/>
    <d v="2025-01-23T00:00:00"/>
    <d v="2028-01-23T00:00:00"/>
    <n v="1908.46"/>
    <x v="1"/>
    <s v="Active"/>
  </r>
  <r>
    <s v="Lapt-LAT-0008"/>
    <s v="Laptop"/>
    <s v="EliteBook 840 Gen8"/>
    <s v="SN143773"/>
    <x v="4"/>
    <s v="CT-Cisc-2026-008"/>
    <d v="2024-09-25T00:00:00"/>
    <d v="2025-09-25T00:00:00"/>
    <n v="979.3"/>
    <x v="2"/>
    <s v="Expired"/>
  </r>
  <r>
    <s v="Serv-APA-0009"/>
    <s v="Server"/>
    <s v="Latitude 5430 Gen8"/>
    <s v="SN644618"/>
    <x v="5"/>
    <s v="CT-HP I-2026-009"/>
    <d v="2024-12-20T00:00:00"/>
    <d v="2027-12-20T00:00:00"/>
    <n v="8546.2999999999993"/>
    <x v="1"/>
    <s v="Active"/>
  </r>
  <r>
    <s v="Mobi-APA-0010"/>
    <s v="Mobile"/>
    <s v="Latitude 5430 Gen9"/>
    <s v="SN268650"/>
    <x v="3"/>
    <s v="CT-Leno-2026-010"/>
    <d v="2023-04-20T00:00:00"/>
    <d v="2024-04-20T00:00:00"/>
    <n v="1020.55"/>
    <x v="1"/>
    <s v="Expired"/>
  </r>
  <r>
    <s v="Mobi-EME-0011"/>
    <s v="Mobile"/>
    <s v="EliteBook 840 Gen11"/>
    <s v="SN622252"/>
    <x v="0"/>
    <s v="CT-Sams-2026-011"/>
    <d v="2024-11-05T00:00:00"/>
    <d v="2026-11-05T00:00:00"/>
    <n v="1148.54"/>
    <x v="3"/>
    <s v="Active"/>
  </r>
  <r>
    <s v="Serv-LAT-0012"/>
    <s v="Server"/>
    <s v="EliteBook 840 Gen11"/>
    <s v="SN1081799"/>
    <x v="1"/>
    <s v="CT-Appl-2026-012"/>
    <d v="2025-10-28T00:00:00"/>
    <d v="2026-10-28T00:00:00"/>
    <n v="9376.27"/>
    <x v="2"/>
    <s v="Active"/>
  </r>
  <r>
    <s v="Lapt-APA-0013"/>
    <s v="Laptop"/>
    <s v="MacBook Pro 16 Gen11"/>
    <s v="SN446235"/>
    <x v="2"/>
    <s v="CT-Dell-2026-013"/>
    <d v="2025-06-08T00:00:00"/>
    <d v="2028-06-08T00:00:00"/>
    <n v="1392.47"/>
    <x v="1"/>
    <s v="Active"/>
  </r>
  <r>
    <s v="Desk-APA-0014"/>
    <s v="Desktop"/>
    <s v="EliteBook 840 Gen9"/>
    <s v="SN709327"/>
    <x v="2"/>
    <s v="CT-Dell-2026-014"/>
    <d v="2025-03-07T00:00:00"/>
    <d v="2026-03-07T00:00:00"/>
    <n v="1167.57"/>
    <x v="1"/>
    <s v="Expired"/>
  </r>
  <r>
    <s v="Desk-AME-0015"/>
    <s v="Desktop"/>
    <s v="Latitude 5430 Gen11"/>
    <s v="SN1037320"/>
    <x v="2"/>
    <s v="CT-Dell-2026-015"/>
    <d v="2026-02-02T00:00:00"/>
    <d v="2028-02-02T00:00:00"/>
    <n v="1851.32"/>
    <x v="0"/>
    <s v="Active"/>
  </r>
  <r>
    <s v="Desk-APA-0016"/>
    <s v="Desktop"/>
    <s v="iPhone 14 Pro Gen10"/>
    <s v="SN999567"/>
    <x v="6"/>
    <s v="CT-Fuji-2026-016"/>
    <d v="2025-01-13T00:00:00"/>
    <d v="2027-01-13T00:00:00"/>
    <n v="991.57"/>
    <x v="1"/>
    <s v="Active"/>
  </r>
  <r>
    <s v="Netw-AME-0017"/>
    <s v="Network Gear"/>
    <s v="Catalyst 9300 Gen9"/>
    <s v="SN745277"/>
    <x v="2"/>
    <s v="CT-Dell-2026-017"/>
    <d v="2026-02-05T00:00:00"/>
    <d v="2029-02-05T00:00:00"/>
    <n v="4111.38"/>
    <x v="0"/>
    <s v="Active"/>
  </r>
  <r>
    <s v="Desk-AME-0018"/>
    <s v="Desktop"/>
    <s v="EliteBook 840 Gen11"/>
    <s v="SN289199"/>
    <x v="6"/>
    <s v="CT-Fuji-2026-018"/>
    <d v="2024-04-09T00:00:00"/>
    <d v="2026-04-09T00:00:00"/>
    <n v="1448.2"/>
    <x v="0"/>
    <s v="Expired"/>
  </r>
  <r>
    <s v="Prin-LAT-0019"/>
    <s v="Printer"/>
    <s v="ThinkPad X1 Gen8"/>
    <s v="SN441177"/>
    <x v="0"/>
    <s v="CT-Sams-2026-019"/>
    <d v="2023-12-28T00:00:00"/>
    <d v="2026-12-28T00:00:00"/>
    <n v="684.42"/>
    <x v="2"/>
    <s v="Active"/>
  </r>
  <r>
    <s v="Desk-APA-0020"/>
    <s v="Desktop"/>
    <s v="ThinkPad X1 Gen11"/>
    <s v="SN454510"/>
    <x v="4"/>
    <s v="CT-Cisc-2026-020"/>
    <d v="2024-12-10T00:00:00"/>
    <d v="2026-12-10T00:00:00"/>
    <n v="1173.81"/>
    <x v="1"/>
    <s v="Active"/>
  </r>
  <r>
    <s v="Prin-AME-0021"/>
    <s v="Printer"/>
    <s v="EliteBook 840 Gen8"/>
    <s v="SN879207"/>
    <x v="3"/>
    <s v="CT-Leno-2026-021"/>
    <d v="2025-04-23T00:00:00"/>
    <d v="2026-04-23T00:00:00"/>
    <n v="793.95"/>
    <x v="0"/>
    <s v="Active"/>
  </r>
  <r>
    <s v="Prin-AME-0022"/>
    <s v="Printer"/>
    <s v="Catalyst 9300 Gen11"/>
    <s v="SN779077"/>
    <x v="1"/>
    <s v="CT-Appl-2026-022"/>
    <d v="2023-07-30T00:00:00"/>
    <d v="2026-07-30T00:00:00"/>
    <n v="422.43"/>
    <x v="0"/>
    <s v="Active"/>
  </r>
  <r>
    <s v="Mobi-APA-0023"/>
    <s v="Mobile"/>
    <s v="ProLiant DL380 Gen9"/>
    <s v="SN734273"/>
    <x v="1"/>
    <s v="CT-Appl-2026-023"/>
    <d v="2023-06-17T00:00:00"/>
    <d v="2025-06-17T00:00:00"/>
    <n v="1036.68"/>
    <x v="1"/>
    <s v="Expired"/>
  </r>
  <r>
    <s v="Netw-LAT-0024"/>
    <s v="Network Gear"/>
    <s v="Latitude 5430 Gen10"/>
    <s v="SN419099"/>
    <x v="3"/>
    <s v="CT-Leno-2026-024"/>
    <d v="2025-11-11T00:00:00"/>
    <d v="2028-11-11T00:00:00"/>
    <n v="6354.33"/>
    <x v="2"/>
    <s v="Active"/>
  </r>
  <r>
    <s v="Mobi-AME-0025"/>
    <s v="Mobile"/>
    <s v="EliteBook 840 Gen12"/>
    <s v="SN971622"/>
    <x v="0"/>
    <s v="CT-Sams-2026-025"/>
    <d v="2025-06-30T00:00:00"/>
    <d v="2026-06-30T00:00:00"/>
    <n v="932.76"/>
    <x v="0"/>
    <s v="Active"/>
  </r>
  <r>
    <s v="Serv-EME-0026"/>
    <s v="Server"/>
    <s v="EliteBook 840 Gen11"/>
    <s v="SN497628"/>
    <x v="2"/>
    <s v="CT-Dell-2026-026"/>
    <d v="2025-01-06T00:00:00"/>
    <d v="2027-01-06T00:00:00"/>
    <n v="8327.81"/>
    <x v="3"/>
    <s v="Active"/>
  </r>
  <r>
    <s v="Desk-LAT-0027"/>
    <s v="Desktop"/>
    <s v="Catalyst 9300 Gen12"/>
    <s v="SN454757"/>
    <x v="2"/>
    <s v="CT-Dell-2026-027"/>
    <d v="2026-02-23T00:00:00"/>
    <d v="2028-02-23T00:00:00"/>
    <n v="980.55"/>
    <x v="2"/>
    <s v="Active"/>
  </r>
  <r>
    <s v="Mobi-AME-0028"/>
    <s v="Mobile"/>
    <s v="Catalyst 9300 Gen8"/>
    <s v="SN108973"/>
    <x v="0"/>
    <s v="CT-Sams-2026-028"/>
    <d v="2024-04-19T00:00:00"/>
    <d v="2027-04-19T00:00:00"/>
    <n v="1171.81"/>
    <x v="0"/>
    <s v="Active"/>
  </r>
  <r>
    <s v="Netw-EME-0029"/>
    <s v="Network Gear"/>
    <s v="ProLiant DL380 Gen12"/>
    <s v="SN947876"/>
    <x v="4"/>
    <s v="CT-Cisc-2026-029"/>
    <d v="2024-04-19T00:00:00"/>
    <d v="2025-04-19T00:00:00"/>
    <n v="6058.57"/>
    <x v="3"/>
    <s v="Expired"/>
  </r>
  <r>
    <s v="Desk-APA-0030"/>
    <s v="Desktop"/>
    <s v="Latitude 5430 Gen12"/>
    <s v="SN764492"/>
    <x v="5"/>
    <s v="CT-HP I-2026-030"/>
    <d v="2024-07-15T00:00:00"/>
    <d v="2026-07-15T00:00:00"/>
    <n v="888.42"/>
    <x v="1"/>
    <s v="Active"/>
  </r>
  <r>
    <s v="Serv-APA-0031"/>
    <s v="Server"/>
    <s v="ProLiant DL380 Gen8"/>
    <s v="SN919095"/>
    <x v="4"/>
    <s v="CT-Cisc-2026-031"/>
    <d v="2025-09-23T00:00:00"/>
    <d v="2028-09-23T00:00:00"/>
    <n v="9631.16"/>
    <x v="1"/>
    <s v="Active"/>
  </r>
  <r>
    <s v="Lapt-LAT-0032"/>
    <s v="Laptop"/>
    <s v="MacBook Pro 16 Gen10"/>
    <s v="SN1061057"/>
    <x v="4"/>
    <s v="CT-Cisc-2026-032"/>
    <d v="2025-08-23T00:00:00"/>
    <d v="2026-08-23T00:00:00"/>
    <n v="1998.12"/>
    <x v="2"/>
    <s v="Active"/>
  </r>
  <r>
    <s v="Serv-APA-0033"/>
    <s v="Server"/>
    <s v="MacBook Pro 16 Gen10"/>
    <s v="SN800705"/>
    <x v="2"/>
    <s v="CT-Dell-2026-033"/>
    <d v="2025-12-17T00:00:00"/>
    <d v="2026-12-17T00:00:00"/>
    <n v="8679.08"/>
    <x v="1"/>
    <s v="Active"/>
  </r>
  <r>
    <s v="Netw-APA-0034"/>
    <s v="Network Gear"/>
    <s v="MacBook Pro 16 Gen11"/>
    <s v="SN603412"/>
    <x v="1"/>
    <s v="CT-Appl-2026-034"/>
    <d v="2024-05-31T00:00:00"/>
    <d v="2027-05-31T00:00:00"/>
    <n v="3175.51"/>
    <x v="1"/>
    <s v="Active"/>
  </r>
  <r>
    <s v="Serv-AME-0035"/>
    <s v="Server"/>
    <s v="MacBook Pro 16 Gen12"/>
    <s v="SN612701"/>
    <x v="6"/>
    <s v="CT-Fuji-2026-035"/>
    <d v="2023-05-17T00:00:00"/>
    <d v="2024-05-17T00:00:00"/>
    <n v="4755.7"/>
    <x v="0"/>
    <s v="Expired"/>
  </r>
  <r>
    <s v="Mobi-EME-0036"/>
    <s v="Mobile"/>
    <s v="EliteBook 840 Gen11"/>
    <s v="SN461694"/>
    <x v="3"/>
    <s v="CT-Leno-2026-036"/>
    <d v="2026-02-20T00:00:00"/>
    <d v="2029-02-20T00:00:00"/>
    <n v="1148.06"/>
    <x v="3"/>
    <s v="Active"/>
  </r>
  <r>
    <s v="Desk-EME-0037"/>
    <s v="Desktop"/>
    <s v="ProLiant DL380 Gen10"/>
    <s v="SN105855"/>
    <x v="2"/>
    <s v="CT-Dell-2026-037"/>
    <d v="2024-12-24T00:00:00"/>
    <d v="2026-12-24T00:00:00"/>
    <n v="1644.81"/>
    <x v="3"/>
    <s v="Active"/>
  </r>
  <r>
    <s v="Lapt-AME-0038"/>
    <s v="Laptop"/>
    <s v="MacBook Pro 16 Gen8"/>
    <s v="SN695357"/>
    <x v="1"/>
    <s v="CT-Appl-2026-038"/>
    <d v="2023-11-03T00:00:00"/>
    <d v="2024-11-03T00:00:00"/>
    <n v="966.88"/>
    <x v="0"/>
    <s v="Expired"/>
  </r>
  <r>
    <s v="Mobi-LAT-0039"/>
    <s v="Mobile"/>
    <s v="iPhone 14 Pro Gen11"/>
    <s v="SN830557"/>
    <x v="2"/>
    <s v="CT-Dell-2026-039"/>
    <d v="2024-07-21T00:00:00"/>
    <d v="2027-07-21T00:00:00"/>
    <n v="627.07000000000005"/>
    <x v="2"/>
    <s v="Active"/>
  </r>
  <r>
    <s v="Lapt-AME-0040"/>
    <s v="Laptop"/>
    <s v="ProLiant DL380 Gen12"/>
    <s v="SN724760"/>
    <x v="6"/>
    <s v="CT-Fuji-2026-040"/>
    <d v="2024-01-28T00:00:00"/>
    <d v="2026-01-28T00:00:00"/>
    <n v="1352.94"/>
    <x v="0"/>
    <s v="Expired"/>
  </r>
  <r>
    <s v="Desk-APA-0041"/>
    <s v="Desktop"/>
    <s v="Latitude 5430 Gen9"/>
    <s v="SN787701"/>
    <x v="1"/>
    <s v="CT-Appl-2026-041"/>
    <d v="2024-12-26T00:00:00"/>
    <d v="2027-12-26T00:00:00"/>
    <n v="1053.07"/>
    <x v="1"/>
    <s v="Active"/>
  </r>
  <r>
    <s v="Desk-EME-0042"/>
    <s v="Desktop"/>
    <s v="ProLiant DL380 Gen11"/>
    <s v="SN581648"/>
    <x v="4"/>
    <s v="CT-Cisc-2026-042"/>
    <d v="2023-09-29T00:00:00"/>
    <d v="2024-09-29T00:00:00"/>
    <n v="1528.89"/>
    <x v="3"/>
    <s v="Expired"/>
  </r>
  <r>
    <s v="Netw-APA-0043"/>
    <s v="Network Gear"/>
    <s v="EliteBook 840 Gen11"/>
    <s v="SN567841"/>
    <x v="6"/>
    <s v="CT-Fuji-2026-043"/>
    <d v="2026-01-14T00:00:00"/>
    <d v="2028-01-14T00:00:00"/>
    <n v="3242.82"/>
    <x v="1"/>
    <s v="Active"/>
  </r>
  <r>
    <s v="Prin-LAT-0044"/>
    <s v="Printer"/>
    <s v="iPhone 14 Pro Gen12"/>
    <s v="SN319801"/>
    <x v="4"/>
    <s v="CT-Cisc-2026-044"/>
    <d v="2024-03-27T00:00:00"/>
    <d v="2027-03-27T00:00:00"/>
    <n v="1120.25"/>
    <x v="2"/>
    <s v="Active"/>
  </r>
  <r>
    <s v="Mobi-APA-0045"/>
    <s v="Mobile"/>
    <s v="iPhone 14 Pro Gen11"/>
    <s v="SN134882"/>
    <x v="0"/>
    <s v="CT-Sams-2026-045"/>
    <d v="2023-11-23T00:00:00"/>
    <d v="2025-11-23T00:00:00"/>
    <n v="937.43"/>
    <x v="1"/>
    <s v="Expired"/>
  </r>
  <r>
    <s v="Lapt-AME-0046"/>
    <s v="Laptop"/>
    <s v="MacBook Pro 16 Gen10"/>
    <s v="SN117082"/>
    <x v="5"/>
    <s v="CT-HP I-2026-046"/>
    <d v="2024-11-18T00:00:00"/>
    <d v="2027-11-18T00:00:00"/>
    <n v="1997.72"/>
    <x v="0"/>
    <s v="Active"/>
  </r>
  <r>
    <s v="Serv-EME-0047"/>
    <s v="Server"/>
    <s v="ProLiant DL380 Gen10"/>
    <s v="SN660552"/>
    <x v="1"/>
    <s v="CT-Appl-2026-047"/>
    <d v="2026-03-01T00:00:00"/>
    <d v="2027-03-01T00:00:00"/>
    <n v="10562.6"/>
    <x v="3"/>
    <s v="Active"/>
  </r>
  <r>
    <s v="Serv-APA-0048"/>
    <s v="Server"/>
    <s v="Catalyst 9300 Gen8"/>
    <s v="SN850147"/>
    <x v="0"/>
    <s v="CT-Sams-2026-048"/>
    <d v="2023-08-13T00:00:00"/>
    <d v="2026-08-13T00:00:00"/>
    <n v="10536.16"/>
    <x v="1"/>
    <s v="Active"/>
  </r>
  <r>
    <s v="Netw-APA-0049"/>
    <s v="Network Gear"/>
    <s v="iPhone 14 Pro Gen12"/>
    <s v="SN1065911"/>
    <x v="5"/>
    <s v="CT-HP I-2026-049"/>
    <d v="2025-04-10T00:00:00"/>
    <d v="2026-04-10T00:00:00"/>
    <n v="2729.97"/>
    <x v="1"/>
    <s v="Expired"/>
  </r>
  <r>
    <s v="Lapt-LAT-0050"/>
    <s v="Laptop"/>
    <s v="ProLiant DL380 Gen10"/>
    <s v="SN173059"/>
    <x v="5"/>
    <s v="CT-HP I-2026-050"/>
    <d v="2025-03-02T00:00:00"/>
    <d v="2026-03-02T00:00:00"/>
    <n v="1065.05"/>
    <x v="2"/>
    <s v="Expired"/>
  </r>
  <r>
    <s v="Prin-AME-0051"/>
    <s v="Printer"/>
    <s v="ThinkPad X1 Gen8"/>
    <s v="SN176134"/>
    <x v="1"/>
    <s v="CT-Appl-2026-051"/>
    <d v="2025-05-07T00:00:00"/>
    <d v="2026-05-07T00:00:00"/>
    <n v="1051.54"/>
    <x v="0"/>
    <s v="Active"/>
  </r>
  <r>
    <s v="Serv-EME-0052"/>
    <s v="Server"/>
    <s v="Catalyst 9300 Gen10"/>
    <s v="SN381048"/>
    <x v="6"/>
    <s v="CT-Fuji-2026-052"/>
    <d v="2023-05-13T00:00:00"/>
    <d v="2026-05-13T00:00:00"/>
    <n v="8094.13"/>
    <x v="3"/>
    <s v="Active"/>
  </r>
  <r>
    <s v="Lapt-EME-0053"/>
    <s v="Laptop"/>
    <s v="iPhone 14 Pro Gen9"/>
    <s v="SN644819"/>
    <x v="3"/>
    <s v="CT-Leno-2026-053"/>
    <d v="2025-01-09T00:00:00"/>
    <d v="2028-01-09T00:00:00"/>
    <n v="1304.6300000000001"/>
    <x v="3"/>
    <s v="Active"/>
  </r>
  <r>
    <s v="Mobi-AME-0054"/>
    <s v="Mobile"/>
    <s v="Catalyst 9300 Gen9"/>
    <s v="SN590702"/>
    <x v="0"/>
    <s v="CT-Sams-2026-054"/>
    <d v="2025-03-23T00:00:00"/>
    <d v="2028-03-23T00:00:00"/>
    <n v="601.71"/>
    <x v="0"/>
    <s v="Active"/>
  </r>
  <r>
    <s v="Serv-LAT-0055"/>
    <s v="Server"/>
    <s v="iPhone 14 Pro Gen10"/>
    <s v="SN1054099"/>
    <x v="4"/>
    <s v="CT-Cisc-2026-055"/>
    <d v="2025-11-10T00:00:00"/>
    <d v="2027-11-10T00:00:00"/>
    <n v="6411.8"/>
    <x v="2"/>
    <s v="Active"/>
  </r>
  <r>
    <s v="Desk-AME-0056"/>
    <s v="Desktop"/>
    <s v="ProLiant DL380 Gen12"/>
    <s v="SN1017787"/>
    <x v="1"/>
    <s v="CT-Appl-2026-056"/>
    <d v="2024-12-26T00:00:00"/>
    <d v="2027-12-26T00:00:00"/>
    <n v="895.2"/>
    <x v="0"/>
    <s v="Active"/>
  </r>
  <r>
    <s v="Desk-EME-0057"/>
    <s v="Desktop"/>
    <s v="MacBook Pro 16 Gen8"/>
    <s v="SN846761"/>
    <x v="0"/>
    <s v="CT-Sams-2026-057"/>
    <d v="2024-03-24T00:00:00"/>
    <d v="2026-03-24T00:00:00"/>
    <n v="1093.04"/>
    <x v="3"/>
    <s v="Expired"/>
  </r>
  <r>
    <s v="Lapt-EME-0058"/>
    <s v="Laptop"/>
    <s v="Catalyst 9300 Gen9"/>
    <s v="SN383991"/>
    <x v="6"/>
    <s v="CT-Fuji-2026-058"/>
    <d v="2024-03-30T00:00:00"/>
    <d v="2025-03-30T00:00:00"/>
    <n v="1284.95"/>
    <x v="3"/>
    <s v="Expired"/>
  </r>
  <r>
    <s v="Mobi-APA-0059"/>
    <s v="Mobile"/>
    <s v="MacBook Pro 16 Gen11"/>
    <s v="SN996659"/>
    <x v="0"/>
    <s v="CT-Sams-2026-059"/>
    <d v="2024-10-31T00:00:00"/>
    <d v="2025-10-31T00:00:00"/>
    <n v="755.6"/>
    <x v="1"/>
    <s v="Expired"/>
  </r>
  <r>
    <s v="Mobi-APA-0060"/>
    <s v="Mobile"/>
    <s v="EliteBook 840 Gen12"/>
    <s v="SN733814"/>
    <x v="0"/>
    <s v="CT-Sams-2026-060"/>
    <d v="2025-10-24T00:00:00"/>
    <d v="2026-10-24T00:00:00"/>
    <n v="629.45000000000005"/>
    <x v="1"/>
    <s v="Active"/>
  </r>
  <r>
    <s v="Prin-AME-0061"/>
    <s v="Printer"/>
    <s v="Latitude 5430 Gen8"/>
    <s v="SN573656"/>
    <x v="5"/>
    <s v="CT-HP I-2026-061"/>
    <d v="2023-04-26T00:00:00"/>
    <d v="2025-04-26T00:00:00"/>
    <n v="762.21"/>
    <x v="0"/>
    <s v="Expired"/>
  </r>
  <r>
    <s v="Serv-APA-0062"/>
    <s v="Server"/>
    <s v="Latitude 5430 Gen10"/>
    <s v="SN192878"/>
    <x v="6"/>
    <s v="CT-Fuji-2026-062"/>
    <d v="2024-01-19T00:00:00"/>
    <d v="2026-01-19T00:00:00"/>
    <n v="8167.73"/>
    <x v="1"/>
    <s v="Expired"/>
  </r>
  <r>
    <s v="Netw-APA-0063"/>
    <s v="Network Gear"/>
    <s v="Catalyst 9300 Gen10"/>
    <s v="SN609344"/>
    <x v="0"/>
    <s v="CT-Sams-2026-063"/>
    <d v="2024-07-12T00:00:00"/>
    <d v="2025-07-12T00:00:00"/>
    <n v="6193.35"/>
    <x v="1"/>
    <s v="Expired"/>
  </r>
  <r>
    <s v="Desk-LAT-0064"/>
    <s v="Desktop"/>
    <s v="iPhone 14 Pro Gen11"/>
    <s v="SN448869"/>
    <x v="4"/>
    <s v="CT-Cisc-2026-064"/>
    <d v="2025-09-06T00:00:00"/>
    <d v="2028-09-06T00:00:00"/>
    <n v="1505.67"/>
    <x v="2"/>
    <s v="Active"/>
  </r>
  <r>
    <s v="Mobi-AME-0065"/>
    <s v="Mobile"/>
    <s v="ThinkPad X1 Gen11"/>
    <s v="SN919802"/>
    <x v="5"/>
    <s v="CT-HP I-2026-065"/>
    <d v="2024-06-13T00:00:00"/>
    <d v="2027-06-13T00:00:00"/>
    <n v="1012.58"/>
    <x v="0"/>
    <s v="Active"/>
  </r>
  <r>
    <s v="Netw-EME-0066"/>
    <s v="Network Gear"/>
    <s v="MacBook Pro 16 Gen9"/>
    <s v="SN986417"/>
    <x v="0"/>
    <s v="CT-Sams-2026-066"/>
    <d v="2023-06-05T00:00:00"/>
    <d v="2025-06-05T00:00:00"/>
    <n v="6069.43"/>
    <x v="3"/>
    <s v="Expired"/>
  </r>
  <r>
    <s v="Prin-LAT-0067"/>
    <s v="Printer"/>
    <s v="Catalyst 9300 Gen11"/>
    <s v="SN791628"/>
    <x v="2"/>
    <s v="CT-Dell-2026-067"/>
    <d v="2023-11-09T00:00:00"/>
    <d v="2025-11-09T00:00:00"/>
    <n v="802.95"/>
    <x v="2"/>
    <s v="Expired"/>
  </r>
  <r>
    <s v="Netw-APA-0068"/>
    <s v="Network Gear"/>
    <s v="Catalyst 9300 Gen10"/>
    <s v="SN357104"/>
    <x v="4"/>
    <s v="CT-Cisc-2026-068"/>
    <d v="2023-11-27T00:00:00"/>
    <d v="2024-11-27T00:00:00"/>
    <n v="3958.25"/>
    <x v="1"/>
    <s v="Expired"/>
  </r>
  <r>
    <s v="Netw-APA-0069"/>
    <s v="Network Gear"/>
    <s v="MacBook Pro 16 Gen9"/>
    <s v="SN687506"/>
    <x v="2"/>
    <s v="CT-Dell-2026-069"/>
    <d v="2024-02-29T00:00:00"/>
    <d v="2027-02-28T00:00:00"/>
    <n v="4370.1099999999997"/>
    <x v="1"/>
    <s v="Active"/>
  </r>
  <r>
    <s v="Mobi-LAT-0070"/>
    <s v="Mobile"/>
    <s v="Latitude 5430 Gen12"/>
    <s v="SN1015892"/>
    <x v="3"/>
    <s v="CT-Leno-2026-070"/>
    <d v="2023-09-11T00:00:00"/>
    <d v="2026-09-11T00:00:00"/>
    <n v="1048.96"/>
    <x v="2"/>
    <s v="Active"/>
  </r>
  <r>
    <s v="Lapt-LAT-0071"/>
    <s v="Laptop"/>
    <s v="ThinkPad X1 Gen12"/>
    <s v="SN377556"/>
    <x v="2"/>
    <s v="CT-Dell-2026-071"/>
    <d v="2024-02-17T00:00:00"/>
    <d v="2025-02-17T00:00:00"/>
    <n v="1307.1600000000001"/>
    <x v="2"/>
    <s v="Expired"/>
  </r>
  <r>
    <s v="Desk-EME-0072"/>
    <s v="Desktop"/>
    <s v="EliteBook 840 Gen12"/>
    <s v="SN505211"/>
    <x v="4"/>
    <s v="CT-Cisc-2026-072"/>
    <d v="2024-06-17T00:00:00"/>
    <d v="2025-06-17T00:00:00"/>
    <n v="963.99"/>
    <x v="3"/>
    <s v="Expired"/>
  </r>
  <r>
    <s v="Netw-AME-0073"/>
    <s v="Network Gear"/>
    <s v="ThinkPad X1 Gen8"/>
    <s v="SN152709"/>
    <x v="4"/>
    <s v="CT-Cisc-2026-073"/>
    <d v="2023-04-03T00:00:00"/>
    <d v="2026-04-03T00:00:00"/>
    <n v="4745.25"/>
    <x v="0"/>
    <s v="Expired"/>
  </r>
  <r>
    <s v="Mobi-APA-0074"/>
    <s v="Mobile"/>
    <s v="EliteBook 840 Gen8"/>
    <s v="SN1017936"/>
    <x v="5"/>
    <s v="CT-HP I-2026-074"/>
    <d v="2024-07-18T00:00:00"/>
    <d v="2027-07-18T00:00:00"/>
    <n v="1161.02"/>
    <x v="1"/>
    <s v="Active"/>
  </r>
  <r>
    <s v="Prin-AME-0075"/>
    <s v="Printer"/>
    <s v="MacBook Pro 16 Gen10"/>
    <s v="SN1026369"/>
    <x v="6"/>
    <s v="CT-Fuji-2026-075"/>
    <d v="2025-02-05T00:00:00"/>
    <d v="2027-02-05T00:00:00"/>
    <n v="786.82"/>
    <x v="0"/>
    <s v="Active"/>
  </r>
  <r>
    <s v="Desk-LAT-0076"/>
    <s v="Desktop"/>
    <s v="EliteBook 840 Gen11"/>
    <s v="SN620546"/>
    <x v="5"/>
    <s v="CT-HP I-2026-076"/>
    <d v="2025-06-17T00:00:00"/>
    <d v="2027-06-17T00:00:00"/>
    <n v="946.39"/>
    <x v="2"/>
    <s v="Active"/>
  </r>
  <r>
    <s v="Netw-LAT-0077"/>
    <s v="Network Gear"/>
    <s v="ThinkPad X1 Gen9"/>
    <s v="SN1080607"/>
    <x v="0"/>
    <s v="CT-Sams-2026-077"/>
    <d v="2023-12-01T00:00:00"/>
    <d v="2024-12-01T00:00:00"/>
    <n v="4199.3900000000003"/>
    <x v="2"/>
    <s v="Expired"/>
  </r>
  <r>
    <s v="Serv-APA-0078"/>
    <s v="Server"/>
    <s v="ProLiant DL380 Gen9"/>
    <s v="SN667659"/>
    <x v="5"/>
    <s v="CT-HP I-2026-078"/>
    <d v="2025-02-13T00:00:00"/>
    <d v="2027-02-13T00:00:00"/>
    <n v="8169.51"/>
    <x v="1"/>
    <s v="Active"/>
  </r>
  <r>
    <s v="Serv-EME-0079"/>
    <s v="Server"/>
    <s v="Latitude 5430 Gen10"/>
    <s v="SN363130"/>
    <x v="2"/>
    <s v="CT-Dell-2026-079"/>
    <d v="2026-03-14T00:00:00"/>
    <d v="2029-03-14T00:00:00"/>
    <n v="7477.71"/>
    <x v="3"/>
    <s v="Active"/>
  </r>
  <r>
    <s v="Desk-LAT-0080"/>
    <s v="Desktop"/>
    <s v="MacBook Pro 16 Gen9"/>
    <s v="SN189254"/>
    <x v="4"/>
    <s v="CT-Cisc-2026-080"/>
    <d v="2025-11-03T00:00:00"/>
    <d v="2027-11-03T00:00:00"/>
    <n v="991.06"/>
    <x v="2"/>
    <s v="Active"/>
  </r>
  <r>
    <s v="Lapt-APA-0081"/>
    <s v="Laptop"/>
    <s v="Catalyst 9300 Gen10"/>
    <s v="SN991282"/>
    <x v="0"/>
    <s v="CT-Sams-2026-081"/>
    <d v="2026-02-22T00:00:00"/>
    <d v="2029-02-22T00:00:00"/>
    <n v="1150.2"/>
    <x v="1"/>
    <s v="Active"/>
  </r>
  <r>
    <s v="Prin-AME-0082"/>
    <s v="Printer"/>
    <s v="ProLiant DL380 Gen8"/>
    <s v="SN281772"/>
    <x v="3"/>
    <s v="CT-Leno-2026-082"/>
    <d v="2024-05-02T00:00:00"/>
    <d v="2026-05-02T00:00:00"/>
    <n v="864.43"/>
    <x v="0"/>
    <s v="Active"/>
  </r>
  <r>
    <s v="Lapt-AME-0083"/>
    <s v="Laptop"/>
    <s v="ThinkPad X1 Gen9"/>
    <s v="SN369342"/>
    <x v="2"/>
    <s v="CT-Dell-2026-083"/>
    <d v="2024-01-31T00:00:00"/>
    <d v="2027-01-31T00:00:00"/>
    <n v="1580.63"/>
    <x v="0"/>
    <s v="Active"/>
  </r>
  <r>
    <s v="Serv-EME-0084"/>
    <s v="Server"/>
    <s v="ProLiant DL380 Gen8"/>
    <s v="SN784393"/>
    <x v="5"/>
    <s v="CT-HP I-2026-084"/>
    <d v="2025-04-27T00:00:00"/>
    <d v="2026-04-27T00:00:00"/>
    <n v="9205.9599999999991"/>
    <x v="3"/>
    <s v="Active"/>
  </r>
  <r>
    <s v="Mobi-APA-0085"/>
    <s v="Mobile"/>
    <s v="EliteBook 840 Gen10"/>
    <s v="SN675323"/>
    <x v="5"/>
    <s v="CT-HP I-2026-085"/>
    <d v="2023-05-16T00:00:00"/>
    <d v="2024-05-16T00:00:00"/>
    <n v="1167.9100000000001"/>
    <x v="1"/>
    <s v="Expired"/>
  </r>
  <r>
    <s v="Desk-LAT-0086"/>
    <s v="Desktop"/>
    <s v="iPhone 14 Pro Gen12"/>
    <s v="SN771711"/>
    <x v="2"/>
    <s v="CT-Dell-2026-086"/>
    <d v="2023-06-14T00:00:00"/>
    <d v="2026-06-14T00:00:00"/>
    <n v="1705.12"/>
    <x v="2"/>
    <s v="Active"/>
  </r>
  <r>
    <s v="Prin-EME-0087"/>
    <s v="Printer"/>
    <s v="ThinkPad X1 Gen8"/>
    <s v="SN1023583"/>
    <x v="3"/>
    <s v="CT-Leno-2026-087"/>
    <d v="2024-05-12T00:00:00"/>
    <d v="2027-05-12T00:00:00"/>
    <n v="567.51"/>
    <x v="3"/>
    <s v="Active"/>
  </r>
  <r>
    <s v="Netw-LAT-0088"/>
    <s v="Network Gear"/>
    <s v="iPhone 14 Pro Gen11"/>
    <s v="SN644063"/>
    <x v="0"/>
    <s v="CT-Sams-2026-088"/>
    <d v="2023-08-11T00:00:00"/>
    <d v="2024-08-11T00:00:00"/>
    <n v="3464.64"/>
    <x v="2"/>
    <s v="Expired"/>
  </r>
  <r>
    <s v="Prin-LAT-0089"/>
    <s v="Printer"/>
    <s v="Latitude 5430 Gen10"/>
    <s v="SN959449"/>
    <x v="5"/>
    <s v="CT-HP I-2026-089"/>
    <d v="2024-05-06T00:00:00"/>
    <d v="2027-05-06T00:00:00"/>
    <n v="615.98"/>
    <x v="2"/>
    <s v="Active"/>
  </r>
  <r>
    <s v="Mobi-AME-0090"/>
    <s v="Mobile"/>
    <s v="ProLiant DL380 Gen9"/>
    <s v="SN846768"/>
    <x v="3"/>
    <s v="CT-Leno-2026-090"/>
    <d v="2024-11-29T00:00:00"/>
    <d v="2025-11-29T00:00:00"/>
    <n v="834.92"/>
    <x v="0"/>
    <s v="Expired"/>
  </r>
  <r>
    <s v="Prin-EME-0091"/>
    <s v="Printer"/>
    <s v="Catalyst 9300 Gen10"/>
    <s v="SN192127"/>
    <x v="4"/>
    <s v="CT-Cisc-2026-091"/>
    <d v="2025-08-25T00:00:00"/>
    <d v="2028-08-25T00:00:00"/>
    <n v="777.56"/>
    <x v="3"/>
    <s v="Active"/>
  </r>
  <r>
    <s v="Mobi-EME-0092"/>
    <s v="Mobile"/>
    <s v="MacBook Pro 16 Gen11"/>
    <s v="SN499525"/>
    <x v="6"/>
    <s v="CT-Fuji-2026-092"/>
    <d v="2024-11-06T00:00:00"/>
    <d v="2025-11-06T00:00:00"/>
    <n v="655.01"/>
    <x v="3"/>
    <s v="Expired"/>
  </r>
  <r>
    <s v="Serv-APA-0093"/>
    <s v="Server"/>
    <s v="Latitude 5430 Gen9"/>
    <s v="SN722141"/>
    <x v="1"/>
    <s v="CT-Appl-2026-093"/>
    <d v="2023-04-15T00:00:00"/>
    <d v="2024-04-15T00:00:00"/>
    <n v="9346.16"/>
    <x v="1"/>
    <s v="Expired"/>
  </r>
  <r>
    <s v="Desk-LAT-0094"/>
    <s v="Desktop"/>
    <s v="Catalyst 9300 Gen11"/>
    <s v="SN467209"/>
    <x v="3"/>
    <s v="CT-Leno-2026-094"/>
    <d v="2024-06-05T00:00:00"/>
    <d v="2027-06-05T00:00:00"/>
    <n v="803.21"/>
    <x v="2"/>
    <s v="Active"/>
  </r>
  <r>
    <s v="Prin-EME-0095"/>
    <s v="Printer"/>
    <s v="ThinkPad X1 Gen12"/>
    <s v="SN769563"/>
    <x v="6"/>
    <s v="CT-Fuji-2026-095"/>
    <d v="2023-10-23T00:00:00"/>
    <d v="2025-10-23T00:00:00"/>
    <n v="1177.3900000000001"/>
    <x v="3"/>
    <s v="Expired"/>
  </r>
  <r>
    <s v="Desk-APA-0096"/>
    <s v="Desktop"/>
    <s v="Latitude 5430 Gen10"/>
    <s v="SN653331"/>
    <x v="3"/>
    <s v="CT-Leno-2026-096"/>
    <d v="2023-04-29T00:00:00"/>
    <d v="2024-04-29T00:00:00"/>
    <n v="1853.76"/>
    <x v="1"/>
    <s v="Expired"/>
  </r>
  <r>
    <s v="Desk-APA-0097"/>
    <s v="Desktop"/>
    <s v="ThinkPad X1 Gen12"/>
    <s v="SN159261"/>
    <x v="4"/>
    <s v="CT-Cisc-2026-097"/>
    <d v="2023-04-10T00:00:00"/>
    <d v="2025-04-10T00:00:00"/>
    <n v="1073.75"/>
    <x v="1"/>
    <s v="Expired"/>
  </r>
  <r>
    <s v="Mobi-EME-0098"/>
    <s v="Mobile"/>
    <s v="ThinkPad X1 Gen10"/>
    <s v="SN547401"/>
    <x v="1"/>
    <s v="CT-Appl-2026-098"/>
    <d v="2023-04-16T00:00:00"/>
    <d v="2024-04-16T00:00:00"/>
    <n v="802.35"/>
    <x v="3"/>
    <s v="Expired"/>
  </r>
  <r>
    <s v="Mobi-APA-0099"/>
    <s v="Mobile"/>
    <s v="EliteBook 840 Gen9"/>
    <s v="SN1069431"/>
    <x v="6"/>
    <s v="CT-Fuji-2026-099"/>
    <d v="2024-06-22T00:00:00"/>
    <d v="2025-06-22T00:00:00"/>
    <n v="1158.43"/>
    <x v="1"/>
    <s v="Expired"/>
  </r>
  <r>
    <s v="Prin-LAT-0100"/>
    <s v="Printer"/>
    <s v="MacBook Pro 16 Gen8"/>
    <s v="SN307447"/>
    <x v="5"/>
    <s v="CT-HP I-2026-100"/>
    <d v="2024-05-31T00:00:00"/>
    <d v="2027-05-31T00:00:00"/>
    <n v="509.37"/>
    <x v="2"/>
    <s v="Active"/>
  </r>
  <r>
    <s v="Netw-LAT-0101"/>
    <s v="Network Gear"/>
    <s v="MacBook Pro 16 Gen10"/>
    <s v="SN299676"/>
    <x v="1"/>
    <s v="CT-Appl-2026-101"/>
    <d v="2025-11-13T00:00:00"/>
    <d v="2027-11-13T00:00:00"/>
    <n v="2850.31"/>
    <x v="2"/>
    <s v="Active"/>
  </r>
  <r>
    <s v="Prin-EME-0102"/>
    <s v="Printer"/>
    <s v="ThinkPad X1 Gen11"/>
    <s v="SN908938"/>
    <x v="1"/>
    <s v="CT-Appl-2026-102"/>
    <d v="2024-12-13T00:00:00"/>
    <d v="2026-12-13T00:00:00"/>
    <n v="919.77"/>
    <x v="3"/>
    <s v="Active"/>
  </r>
  <r>
    <s v="Serv-AME-0103"/>
    <s v="Server"/>
    <s v="Latitude 5430 Gen9"/>
    <s v="SN464838"/>
    <x v="1"/>
    <s v="CT-Appl-2026-103"/>
    <d v="2024-10-24T00:00:00"/>
    <d v="2026-10-24T00:00:00"/>
    <n v="11200"/>
    <x v="0"/>
    <s v="Active"/>
  </r>
  <r>
    <s v="Lapt-APA-0104"/>
    <s v="Laptop"/>
    <s v="iPhone 14 Pro Gen11"/>
    <s v="SN141375"/>
    <x v="0"/>
    <s v="CT-Sams-2026-104"/>
    <d v="2025-10-18T00:00:00"/>
    <d v="2026-10-18T00:00:00"/>
    <n v="1349.95"/>
    <x v="1"/>
    <s v="Active"/>
  </r>
  <r>
    <s v="Netw-LAT-0105"/>
    <s v="Network Gear"/>
    <s v="MacBook Pro 16 Gen9"/>
    <s v="SN770890"/>
    <x v="2"/>
    <s v="CT-Dell-2026-105"/>
    <d v="2026-01-16T00:00:00"/>
    <d v="2029-01-16T00:00:00"/>
    <n v="6007.58"/>
    <x v="2"/>
    <s v="Active"/>
  </r>
  <r>
    <s v="Serv-APA-0106"/>
    <s v="Server"/>
    <s v="ThinkPad X1 Gen11"/>
    <s v="SN483767"/>
    <x v="4"/>
    <s v="CT-Cisc-2026-106"/>
    <d v="2024-11-12T00:00:00"/>
    <d v="2026-11-12T00:00:00"/>
    <n v="5220.3599999999997"/>
    <x v="1"/>
    <s v="Active"/>
  </r>
  <r>
    <s v="Desk-LAT-0107"/>
    <s v="Desktop"/>
    <s v="ThinkPad X1 Gen9"/>
    <s v="SN279088"/>
    <x v="2"/>
    <s v="CT-Dell-2026-107"/>
    <d v="2024-07-21T00:00:00"/>
    <d v="2025-07-21T00:00:00"/>
    <n v="830.45"/>
    <x v="2"/>
    <s v="Expired"/>
  </r>
  <r>
    <s v="Netw-LAT-0108"/>
    <s v="Network Gear"/>
    <s v="Catalyst 9300 Gen8"/>
    <s v="SN140285"/>
    <x v="5"/>
    <s v="CT-HP I-2026-108"/>
    <d v="2024-11-26T00:00:00"/>
    <d v="2026-11-26T00:00:00"/>
    <n v="2904.14"/>
    <x v="2"/>
    <s v="Active"/>
  </r>
  <r>
    <s v="Netw-LAT-0109"/>
    <s v="Network Gear"/>
    <s v="MacBook Pro 16 Gen12"/>
    <s v="SN814664"/>
    <x v="3"/>
    <s v="CT-Leno-2026-109"/>
    <d v="2024-04-12T00:00:00"/>
    <d v="2025-04-12T00:00:00"/>
    <n v="5912.32"/>
    <x v="2"/>
    <s v="Expired"/>
  </r>
  <r>
    <s v="Prin-APA-0110"/>
    <s v="Printer"/>
    <s v="Latitude 5430 Gen10"/>
    <s v="SN767308"/>
    <x v="0"/>
    <s v="CT-Sams-2026-110"/>
    <d v="2023-07-21T00:00:00"/>
    <d v="2025-07-21T00:00:00"/>
    <n v="475.46"/>
    <x v="1"/>
    <s v="Expired"/>
  </r>
  <r>
    <s v="Lapt-EME-0111"/>
    <s v="Laptop"/>
    <s v="Latitude 5430 Gen12"/>
    <s v="SN926302"/>
    <x v="1"/>
    <s v="CT-Appl-2026-111"/>
    <d v="2024-03-25T00:00:00"/>
    <d v="2027-03-25T00:00:00"/>
    <n v="1550.62"/>
    <x v="3"/>
    <s v="Active"/>
  </r>
  <r>
    <s v="Netw-LAT-0112"/>
    <s v="Network Gear"/>
    <s v="iPhone 14 Pro Gen12"/>
    <s v="SN673134"/>
    <x v="6"/>
    <s v="CT-Fuji-2026-112"/>
    <d v="2025-08-14T00:00:00"/>
    <d v="2027-08-14T00:00:00"/>
    <n v="3399.87"/>
    <x v="2"/>
    <s v="Active"/>
  </r>
  <r>
    <s v="Prin-LAT-0113"/>
    <s v="Printer"/>
    <s v="MacBook Pro 16 Gen12"/>
    <s v="SN552640"/>
    <x v="1"/>
    <s v="CT-Appl-2026-113"/>
    <d v="2025-12-26T00:00:00"/>
    <d v="2026-12-26T00:00:00"/>
    <n v="412.83"/>
    <x v="2"/>
    <s v="Active"/>
  </r>
  <r>
    <s v="Netw-LAT-0114"/>
    <s v="Network Gear"/>
    <s v="iPhone 14 Pro Gen9"/>
    <s v="SN521588"/>
    <x v="3"/>
    <s v="CT-Leno-2026-114"/>
    <d v="2023-12-07T00:00:00"/>
    <d v="2025-12-07T00:00:00"/>
    <n v="2752.07"/>
    <x v="2"/>
    <s v="Expired"/>
  </r>
  <r>
    <s v="Netw-APA-0115"/>
    <s v="Network Gear"/>
    <s v="ThinkPad X1 Gen10"/>
    <s v="SN302053"/>
    <x v="5"/>
    <s v="CT-HP I-2026-115"/>
    <d v="2025-09-20T00:00:00"/>
    <d v="2027-09-20T00:00:00"/>
    <n v="3350.34"/>
    <x v="1"/>
    <s v="Active"/>
  </r>
  <r>
    <s v="Desk-APA-0116"/>
    <s v="Desktop"/>
    <s v="iPhone 14 Pro Gen10"/>
    <s v="SN820795"/>
    <x v="3"/>
    <s v="CT-Leno-2026-116"/>
    <d v="2023-03-26T00:00:00"/>
    <d v="2026-03-26T00:00:00"/>
    <n v="1411.63"/>
    <x v="1"/>
    <s v="Expired"/>
  </r>
  <r>
    <s v="Lapt-APA-0117"/>
    <s v="Laptop"/>
    <s v="iPhone 14 Pro Gen10"/>
    <s v="SN501970"/>
    <x v="2"/>
    <s v="CT-Dell-2026-117"/>
    <d v="2025-02-17T00:00:00"/>
    <d v="2026-02-17T00:00:00"/>
    <n v="1672"/>
    <x v="1"/>
    <s v="Expired"/>
  </r>
  <r>
    <s v="Lapt-APA-0118"/>
    <s v="Laptop"/>
    <s v="iPhone 14 Pro Gen12"/>
    <s v="SN728355"/>
    <x v="3"/>
    <s v="CT-Leno-2026-118"/>
    <d v="2024-11-26T00:00:00"/>
    <d v="2027-11-26T00:00:00"/>
    <n v="1176.25"/>
    <x v="1"/>
    <s v="Active"/>
  </r>
  <r>
    <s v="Lapt-LAT-0119"/>
    <s v="Laptop"/>
    <s v="ProLiant DL380 Gen12"/>
    <s v="SN423976"/>
    <x v="4"/>
    <s v="CT-Cisc-2026-119"/>
    <d v="2025-12-27T00:00:00"/>
    <d v="2027-12-27T00:00:00"/>
    <n v="1004.32"/>
    <x v="2"/>
    <s v="Active"/>
  </r>
  <r>
    <s v="Prin-AME-0120"/>
    <s v="Printer"/>
    <s v="ProLiant DL380 Gen12"/>
    <s v="SN954177"/>
    <x v="5"/>
    <s v="CT-HP I-2026-120"/>
    <d v="2024-08-20T00:00:00"/>
    <d v="2026-08-20T00:00:00"/>
    <n v="1034.32"/>
    <x v="0"/>
    <s v="Active"/>
  </r>
  <r>
    <s v="Prin-APA-0121"/>
    <s v="Printer"/>
    <s v="iPhone 14 Pro Gen9"/>
    <s v="SN340937"/>
    <x v="6"/>
    <s v="CT-Fuji-2026-121"/>
    <d v="2026-02-17T00:00:00"/>
    <d v="2029-02-17T00:00:00"/>
    <n v="1030.55"/>
    <x v="1"/>
    <s v="Active"/>
  </r>
  <r>
    <s v="Netw-APA-0122"/>
    <s v="Network Gear"/>
    <s v="MacBook Pro 16 Gen12"/>
    <s v="SN792212"/>
    <x v="5"/>
    <s v="CT-HP I-2026-122"/>
    <d v="2026-03-04T00:00:00"/>
    <d v="2027-03-04T00:00:00"/>
    <n v="2484.83"/>
    <x v="1"/>
    <s v="Active"/>
  </r>
  <r>
    <s v="Mobi-AME-0123"/>
    <s v="Mobile"/>
    <s v="iPhone 14 Pro Gen12"/>
    <s v="SN322409"/>
    <x v="5"/>
    <s v="CT-HP I-2026-123"/>
    <d v="2025-02-16T00:00:00"/>
    <d v="2028-02-16T00:00:00"/>
    <n v="716.75"/>
    <x v="0"/>
    <s v="Active"/>
  </r>
  <r>
    <s v="Mobi-EME-0124"/>
    <s v="Mobile"/>
    <s v="iPhone 14 Pro Gen11"/>
    <s v="SN562355"/>
    <x v="1"/>
    <s v="CT-Appl-2026-124"/>
    <d v="2025-10-21T00:00:00"/>
    <d v="2028-10-21T00:00:00"/>
    <n v="1117.24"/>
    <x v="3"/>
    <s v="Active"/>
  </r>
  <r>
    <s v="Desk-EME-0125"/>
    <s v="Desktop"/>
    <s v="iPhone 14 Pro Gen8"/>
    <s v="SN924581"/>
    <x v="3"/>
    <s v="CT-Leno-2026-125"/>
    <d v="2025-12-28T00:00:00"/>
    <d v="2028-12-28T00:00:00"/>
    <n v="1162.3900000000001"/>
    <x v="3"/>
    <s v="Active"/>
  </r>
  <r>
    <s v="Mobi-AME-0126"/>
    <s v="Mobile"/>
    <s v="iPhone 14 Pro Gen12"/>
    <s v="SN993738"/>
    <x v="0"/>
    <s v="CT-Sams-2026-126"/>
    <d v="2023-04-30T00:00:00"/>
    <d v="2026-04-30T00:00:00"/>
    <n v="817.53"/>
    <x v="0"/>
    <s v="Active"/>
  </r>
  <r>
    <s v="Mobi-LAT-0127"/>
    <s v="Mobile"/>
    <s v="Latitude 5430 Gen8"/>
    <s v="SN181004"/>
    <x v="5"/>
    <s v="CT-HP I-2026-127"/>
    <d v="2024-08-07T00:00:00"/>
    <d v="2025-08-07T00:00:00"/>
    <n v="643.11"/>
    <x v="2"/>
    <s v="Expired"/>
  </r>
  <r>
    <s v="Mobi-LAT-0128"/>
    <s v="Mobile"/>
    <s v="iPhone 14 Pro Gen10"/>
    <s v="SN330694"/>
    <x v="5"/>
    <s v="CT-HP I-2026-128"/>
    <d v="2024-06-20T00:00:00"/>
    <d v="2025-06-20T00:00:00"/>
    <n v="689.94"/>
    <x v="2"/>
    <s v="Expired"/>
  </r>
  <r>
    <s v="Netw-APA-0129"/>
    <s v="Network Gear"/>
    <s v="EliteBook 840 Gen12"/>
    <s v="SN550330"/>
    <x v="5"/>
    <s v="CT-HP I-2026-129"/>
    <d v="2025-09-15T00:00:00"/>
    <d v="2028-09-15T00:00:00"/>
    <n v="4125.54"/>
    <x v="1"/>
    <s v="Active"/>
  </r>
  <r>
    <s v="Desk-APA-0130"/>
    <s v="Desktop"/>
    <s v="MacBook Pro 16 Gen10"/>
    <s v="SN192614"/>
    <x v="2"/>
    <s v="CT-Dell-2026-130"/>
    <d v="2026-02-27T00:00:00"/>
    <d v="2027-02-27T00:00:00"/>
    <n v="1203.73"/>
    <x v="1"/>
    <s v="Active"/>
  </r>
  <r>
    <s v="Serv-AME-0131"/>
    <s v="Server"/>
    <s v="Catalyst 9300 Gen9"/>
    <s v="SN727362"/>
    <x v="1"/>
    <s v="CT-Appl-2026-131"/>
    <d v="2024-10-06T00:00:00"/>
    <d v="2027-10-06T00:00:00"/>
    <n v="10254.709999999999"/>
    <x v="0"/>
    <s v="Active"/>
  </r>
  <r>
    <s v="Desk-AME-0132"/>
    <s v="Desktop"/>
    <s v="Catalyst 9300 Gen10"/>
    <s v="SN468970"/>
    <x v="6"/>
    <s v="CT-Fuji-2026-132"/>
    <d v="2026-01-26T00:00:00"/>
    <d v="2028-01-26T00:00:00"/>
    <n v="1915.83"/>
    <x v="0"/>
    <s v="Active"/>
  </r>
  <r>
    <s v="Prin-LAT-0133"/>
    <s v="Printer"/>
    <s v="MacBook Pro 16 Gen9"/>
    <s v="SN473613"/>
    <x v="6"/>
    <s v="CT-Fuji-2026-133"/>
    <d v="2025-11-18T00:00:00"/>
    <d v="2026-11-18T00:00:00"/>
    <n v="758.7"/>
    <x v="2"/>
    <s v="Active"/>
  </r>
  <r>
    <s v="Desk-LAT-0134"/>
    <s v="Desktop"/>
    <s v="Catalyst 9300 Gen9"/>
    <s v="SN780743"/>
    <x v="4"/>
    <s v="CT-Cisc-2026-134"/>
    <d v="2025-04-08T00:00:00"/>
    <d v="2026-04-08T00:00:00"/>
    <n v="1849.58"/>
    <x v="2"/>
    <s v="Expired"/>
  </r>
  <r>
    <s v="Mobi-APA-0135"/>
    <s v="Mobile"/>
    <s v="iPhone 14 Pro Gen9"/>
    <s v="SN873653"/>
    <x v="0"/>
    <s v="CT-Sams-2026-135"/>
    <d v="2024-08-23T00:00:00"/>
    <d v="2026-08-23T00:00:00"/>
    <n v="942.58"/>
    <x v="1"/>
    <s v="Active"/>
  </r>
  <r>
    <s v="Serv-AME-0136"/>
    <s v="Server"/>
    <s v="ProLiant DL380 Gen12"/>
    <s v="SN289501"/>
    <x v="4"/>
    <s v="CT-Cisc-2026-136"/>
    <d v="2024-12-28T00:00:00"/>
    <d v="2025-12-28T00:00:00"/>
    <n v="9155.34"/>
    <x v="0"/>
    <s v="Expired"/>
  </r>
  <r>
    <s v="Desk-APA-0137"/>
    <s v="Desktop"/>
    <s v="MacBook Pro 16 Gen9"/>
    <s v="SN673495"/>
    <x v="2"/>
    <s v="CT-Dell-2026-137"/>
    <d v="2024-08-23T00:00:00"/>
    <d v="2025-08-23T00:00:00"/>
    <n v="949.45"/>
    <x v="1"/>
    <s v="Expired"/>
  </r>
  <r>
    <s v="Desk-APA-0138"/>
    <s v="Desktop"/>
    <s v="ThinkPad X1 Gen10"/>
    <s v="SN885387"/>
    <x v="0"/>
    <s v="CT-Sams-2026-138"/>
    <d v="2023-11-10T00:00:00"/>
    <d v="2026-11-10T00:00:00"/>
    <n v="1974.44"/>
    <x v="1"/>
    <s v="Active"/>
  </r>
  <r>
    <s v="Desk-EME-0139"/>
    <s v="Desktop"/>
    <s v="Latitude 5430 Gen11"/>
    <s v="SN607245"/>
    <x v="2"/>
    <s v="CT-Dell-2026-139"/>
    <d v="2023-12-10T00:00:00"/>
    <d v="2026-12-10T00:00:00"/>
    <n v="1136.43"/>
    <x v="3"/>
    <s v="Active"/>
  </r>
  <r>
    <s v="Netw-LAT-0140"/>
    <s v="Network Gear"/>
    <s v="ThinkPad X1 Gen10"/>
    <s v="SN1035268"/>
    <x v="1"/>
    <s v="CT-Appl-2026-140"/>
    <d v="2023-12-24T00:00:00"/>
    <d v="2026-12-24T00:00:00"/>
    <n v="6290.38"/>
    <x v="2"/>
    <s v="Active"/>
  </r>
  <r>
    <s v="Netw-AME-0141"/>
    <s v="Network Gear"/>
    <s v="Latitude 5430 Gen10"/>
    <s v="SN868300"/>
    <x v="6"/>
    <s v="CT-Fuji-2026-141"/>
    <d v="2023-10-10T00:00:00"/>
    <d v="2026-10-10T00:00:00"/>
    <n v="3231.93"/>
    <x v="0"/>
    <s v="Active"/>
  </r>
  <r>
    <s v="Mobi-AME-0142"/>
    <s v="Mobile"/>
    <s v="EliteBook 840 Gen9"/>
    <s v="SN822280"/>
    <x v="3"/>
    <s v="CT-Leno-2026-142"/>
    <d v="2023-10-31T00:00:00"/>
    <d v="2025-10-31T00:00:00"/>
    <n v="936.76"/>
    <x v="0"/>
    <s v="Expired"/>
  </r>
  <r>
    <s v="Prin-AME-0143"/>
    <s v="Printer"/>
    <s v="ThinkPad X1 Gen9"/>
    <s v="SN131322"/>
    <x v="2"/>
    <s v="CT-Dell-2026-143"/>
    <d v="2024-04-16T00:00:00"/>
    <d v="2025-04-16T00:00:00"/>
    <n v="539.19000000000005"/>
    <x v="0"/>
    <s v="Expired"/>
  </r>
  <r>
    <s v="Serv-EME-0144"/>
    <s v="Server"/>
    <s v="EliteBook 840 Gen11"/>
    <s v="SN958040"/>
    <x v="2"/>
    <s v="CT-Dell-2026-144"/>
    <d v="2025-11-09T00:00:00"/>
    <d v="2027-11-09T00:00:00"/>
    <n v="7684.39"/>
    <x v="3"/>
    <s v="Active"/>
  </r>
  <r>
    <s v="Desk-APA-0145"/>
    <s v="Desktop"/>
    <s v="Latitude 5430 Gen12"/>
    <s v="SN781234"/>
    <x v="6"/>
    <s v="CT-Fuji-2026-145"/>
    <d v="2025-01-31T00:00:00"/>
    <d v="2027-01-31T00:00:00"/>
    <n v="1369.84"/>
    <x v="1"/>
    <s v="Active"/>
  </r>
  <r>
    <s v="Desk-LAT-0146"/>
    <s v="Desktop"/>
    <s v="Latitude 5430 Gen9"/>
    <s v="SN798758"/>
    <x v="3"/>
    <s v="CT-Leno-2026-146"/>
    <d v="2026-02-11T00:00:00"/>
    <d v="2028-02-11T00:00:00"/>
    <n v="1354.09"/>
    <x v="2"/>
    <s v="Active"/>
  </r>
  <r>
    <s v="Mobi-AME-0147"/>
    <s v="Mobile"/>
    <s v="iPhone 14 Pro Gen12"/>
    <s v="SN255515"/>
    <x v="4"/>
    <s v="CT-Cisc-2026-147"/>
    <d v="2023-10-18T00:00:00"/>
    <d v="2024-10-18T00:00:00"/>
    <n v="647.59"/>
    <x v="0"/>
    <s v="Expired"/>
  </r>
  <r>
    <s v="Lapt-EME-0148"/>
    <s v="Laptop"/>
    <s v="Latitude 5430 Gen12"/>
    <s v="SN646503"/>
    <x v="3"/>
    <s v="CT-Leno-2026-148"/>
    <d v="2024-06-28T00:00:00"/>
    <d v="2027-06-28T00:00:00"/>
    <n v="1693.84"/>
    <x v="3"/>
    <s v="Active"/>
  </r>
  <r>
    <s v="Netw-LAT-0149"/>
    <s v="Network Gear"/>
    <s v="Latitude 5430 Gen12"/>
    <s v="SN656009"/>
    <x v="6"/>
    <s v="CT-Fuji-2026-149"/>
    <d v="2026-02-02T00:00:00"/>
    <d v="2029-02-02T00:00:00"/>
    <n v="4086.07"/>
    <x v="2"/>
    <s v="Active"/>
  </r>
  <r>
    <s v="Mobi-LAT-0150"/>
    <s v="Mobile"/>
    <s v="Catalyst 9300 Gen8"/>
    <s v="SN866884"/>
    <x v="3"/>
    <s v="CT-Leno-2026-150"/>
    <d v="2024-03-31T00:00:00"/>
    <d v="2026-03-31T00:00:00"/>
    <n v="1027.1600000000001"/>
    <x v="2"/>
    <s v="Expired"/>
  </r>
  <r>
    <s v="Mobi-AME-0151"/>
    <s v="Mobile"/>
    <s v="EliteBook 840 Gen12"/>
    <s v="SN1036527"/>
    <x v="5"/>
    <s v="CT-HP I-2026-151"/>
    <d v="2025-10-11T00:00:00"/>
    <d v="2027-10-11T00:00:00"/>
    <n v="691.73"/>
    <x v="0"/>
    <s v="Active"/>
  </r>
  <r>
    <s v="Lapt-AME-0152"/>
    <s v="Laptop"/>
    <s v="iPhone 14 Pro Gen12"/>
    <s v="SN604379"/>
    <x v="6"/>
    <s v="CT-Fuji-2026-152"/>
    <d v="2024-12-22T00:00:00"/>
    <d v="2026-12-22T00:00:00"/>
    <n v="1832.6"/>
    <x v="0"/>
    <s v="Active"/>
  </r>
  <r>
    <s v="Lapt-LAT-0153"/>
    <s v="Laptop"/>
    <s v="Catalyst 9300 Gen11"/>
    <s v="SN1022472"/>
    <x v="0"/>
    <s v="CT-Sams-2026-153"/>
    <d v="2023-11-14T00:00:00"/>
    <d v="2025-11-14T00:00:00"/>
    <n v="1946.11"/>
    <x v="2"/>
    <s v="Expired"/>
  </r>
  <r>
    <s v="Mobi-APA-0154"/>
    <s v="Mobile"/>
    <s v="EliteBook 840 Gen9"/>
    <s v="SN126573"/>
    <x v="5"/>
    <s v="CT-HP I-2026-154"/>
    <d v="2024-03-08T00:00:00"/>
    <d v="2025-03-08T00:00:00"/>
    <n v="631"/>
    <x v="1"/>
    <s v="Expired"/>
  </r>
  <r>
    <s v="Serv-APA-0155"/>
    <s v="Server"/>
    <s v="EliteBook 840 Gen8"/>
    <s v="SN668754"/>
    <x v="1"/>
    <s v="CT-Appl-2026-155"/>
    <d v="2025-10-20T00:00:00"/>
    <d v="2026-10-20T00:00:00"/>
    <n v="10167.85"/>
    <x v="1"/>
    <s v="Active"/>
  </r>
  <r>
    <s v="Prin-AME-0156"/>
    <s v="Printer"/>
    <s v="Catalyst 9300 Gen10"/>
    <s v="SN1078554"/>
    <x v="4"/>
    <s v="CT-Cisc-2026-156"/>
    <d v="2024-02-04T00:00:00"/>
    <d v="2026-02-04T00:00:00"/>
    <n v="513.20000000000005"/>
    <x v="0"/>
    <s v="Expired"/>
  </r>
  <r>
    <s v="Netw-EME-0157"/>
    <s v="Network Gear"/>
    <s v="ProLiant DL380 Gen10"/>
    <s v="SN712227"/>
    <x v="4"/>
    <s v="CT-Cisc-2026-157"/>
    <d v="2024-03-20T00:00:00"/>
    <d v="2025-03-20T00:00:00"/>
    <n v="6113.39"/>
    <x v="3"/>
    <s v="Expired"/>
  </r>
  <r>
    <s v="Serv-APA-0158"/>
    <s v="Server"/>
    <s v="Latitude 5430 Gen10"/>
    <s v="SN178716"/>
    <x v="4"/>
    <s v="CT-Cisc-2026-158"/>
    <d v="2024-05-25T00:00:00"/>
    <d v="2026-05-25T00:00:00"/>
    <n v="9054.86"/>
    <x v="1"/>
    <s v="Active"/>
  </r>
  <r>
    <s v="Prin-LAT-0159"/>
    <s v="Printer"/>
    <s v="EliteBook 840 Gen10"/>
    <s v="SN624914"/>
    <x v="0"/>
    <s v="CT-Sams-2026-159"/>
    <d v="2024-12-06T00:00:00"/>
    <d v="2027-12-06T00:00:00"/>
    <n v="436.19"/>
    <x v="2"/>
    <s v="Active"/>
  </r>
  <r>
    <s v="Netw-EME-0160"/>
    <s v="Network Gear"/>
    <s v="EliteBook 840 Gen11"/>
    <s v="SN137207"/>
    <x v="5"/>
    <s v="CT-HP I-2026-160"/>
    <d v="2026-01-09T00:00:00"/>
    <d v="2027-01-09T00:00:00"/>
    <n v="5422.98"/>
    <x v="3"/>
    <s v="Active"/>
  </r>
  <r>
    <s v="Mobi-AME-0161"/>
    <s v="Mobile"/>
    <s v="Latitude 5430 Gen8"/>
    <s v="SN124261"/>
    <x v="5"/>
    <s v="CT-HP I-2026-161"/>
    <d v="2026-01-14T00:00:00"/>
    <d v="2027-01-14T00:00:00"/>
    <n v="860.9"/>
    <x v="0"/>
    <s v="Active"/>
  </r>
  <r>
    <s v="Lapt-LAT-0162"/>
    <s v="Laptop"/>
    <s v="ThinkPad X1 Gen9"/>
    <s v="SN828304"/>
    <x v="4"/>
    <s v="CT-Cisc-2026-162"/>
    <d v="2025-03-12T00:00:00"/>
    <d v="2027-03-12T00:00:00"/>
    <n v="1211.26"/>
    <x v="2"/>
    <s v="Active"/>
  </r>
  <r>
    <s v="Netw-AME-0163"/>
    <s v="Network Gear"/>
    <s v="MacBook Pro 16 Gen8"/>
    <s v="SN1046669"/>
    <x v="5"/>
    <s v="CT-HP I-2026-163"/>
    <d v="2024-04-04T00:00:00"/>
    <d v="2025-04-04T00:00:00"/>
    <n v="5253.87"/>
    <x v="0"/>
    <s v="Expired"/>
  </r>
  <r>
    <s v="Mobi-AME-0164"/>
    <s v="Mobile"/>
    <s v="Latitude 5430 Gen9"/>
    <s v="SN997925"/>
    <x v="0"/>
    <s v="CT-Sams-2026-164"/>
    <d v="2024-04-15T00:00:00"/>
    <d v="2025-04-15T00:00:00"/>
    <n v="931.42"/>
    <x v="0"/>
    <s v="Expired"/>
  </r>
  <r>
    <s v="Mobi-LAT-0165"/>
    <s v="Mobile"/>
    <s v="MacBook Pro 16 Gen12"/>
    <s v="SN740567"/>
    <x v="2"/>
    <s v="CT-Dell-2026-165"/>
    <d v="2025-12-24T00:00:00"/>
    <d v="2028-12-24T00:00:00"/>
    <n v="1179.1300000000001"/>
    <x v="2"/>
    <s v="Active"/>
  </r>
  <r>
    <s v="Netw-LAT-0166"/>
    <s v="Network Gear"/>
    <s v="ThinkPad X1 Gen9"/>
    <s v="SN1037558"/>
    <x v="5"/>
    <s v="CT-HP I-2026-166"/>
    <d v="2025-04-19T00:00:00"/>
    <d v="2026-04-19T00:00:00"/>
    <n v="4271.59"/>
    <x v="2"/>
    <s v="Active"/>
  </r>
  <r>
    <s v="Lapt-LAT-0167"/>
    <s v="Laptop"/>
    <s v="EliteBook 840 Gen10"/>
    <s v="SN385253"/>
    <x v="3"/>
    <s v="CT-Leno-2026-167"/>
    <d v="2024-08-25T00:00:00"/>
    <d v="2025-08-25T00:00:00"/>
    <n v="985.15"/>
    <x v="2"/>
    <s v="Expired"/>
  </r>
  <r>
    <s v="Prin-APA-0168"/>
    <s v="Printer"/>
    <s v="ProLiant DL380 Gen11"/>
    <s v="SN605841"/>
    <x v="1"/>
    <s v="CT-Appl-2026-168"/>
    <d v="2024-12-13T00:00:00"/>
    <d v="2025-12-13T00:00:00"/>
    <n v="531.04"/>
    <x v="1"/>
    <s v="Expired"/>
  </r>
  <r>
    <s v="Mobi-LAT-0169"/>
    <s v="Mobile"/>
    <s v="EliteBook 840 Gen8"/>
    <s v="SN891774"/>
    <x v="3"/>
    <s v="CT-Leno-2026-169"/>
    <d v="2025-05-03T00:00:00"/>
    <d v="2027-05-03T00:00:00"/>
    <n v="1004.62"/>
    <x v="2"/>
    <s v="Active"/>
  </r>
  <r>
    <s v="Lapt-AME-0170"/>
    <s v="Laptop"/>
    <s v="Latitude 5430 Gen9"/>
    <s v="SN129050"/>
    <x v="6"/>
    <s v="CT-Fuji-2026-170"/>
    <d v="2023-09-05T00:00:00"/>
    <d v="2024-09-05T00:00:00"/>
    <n v="1708.71"/>
    <x v="0"/>
    <s v="Expired"/>
  </r>
  <r>
    <s v="Serv-APA-0171"/>
    <s v="Server"/>
    <s v="iPhone 14 Pro Gen11"/>
    <s v="SN292092"/>
    <x v="4"/>
    <s v="CT-Cisc-2026-171"/>
    <d v="2025-10-13T00:00:00"/>
    <d v="2027-10-13T00:00:00"/>
    <n v="8737.83"/>
    <x v="1"/>
    <s v="Active"/>
  </r>
  <r>
    <s v="Desk-EME-0172"/>
    <s v="Desktop"/>
    <s v="MacBook Pro 16 Gen8"/>
    <s v="SN461746"/>
    <x v="1"/>
    <s v="CT-Appl-2026-172"/>
    <d v="2024-01-31T00:00:00"/>
    <d v="2025-01-31T00:00:00"/>
    <n v="1921.98"/>
    <x v="3"/>
    <s v="Expired"/>
  </r>
  <r>
    <s v="Serv-EME-0173"/>
    <s v="Server"/>
    <s v="EliteBook 840 Gen8"/>
    <s v="SN772767"/>
    <x v="2"/>
    <s v="CT-Dell-2026-173"/>
    <d v="2024-03-04T00:00:00"/>
    <d v="2026-03-04T00:00:00"/>
    <n v="7403.17"/>
    <x v="3"/>
    <s v="Expired"/>
  </r>
  <r>
    <s v="Lapt-EME-0174"/>
    <s v="Laptop"/>
    <s v="MacBook Pro 16 Gen10"/>
    <s v="SN238825"/>
    <x v="5"/>
    <s v="CT-HP I-2026-174"/>
    <d v="2023-08-12T00:00:00"/>
    <d v="2024-08-12T00:00:00"/>
    <n v="818.9"/>
    <x v="3"/>
    <s v="Expired"/>
  </r>
  <r>
    <s v="Mobi-EME-0175"/>
    <s v="Mobile"/>
    <s v="EliteBook 840 Gen12"/>
    <s v="SN759436"/>
    <x v="0"/>
    <s v="CT-Sams-2026-175"/>
    <d v="2024-05-28T00:00:00"/>
    <d v="2026-05-28T00:00:00"/>
    <n v="629.33000000000004"/>
    <x v="3"/>
    <s v="Active"/>
  </r>
  <r>
    <s v="Serv-EME-0176"/>
    <s v="Server"/>
    <s v="EliteBook 840 Gen9"/>
    <s v="SN700222"/>
    <x v="3"/>
    <s v="CT-Leno-2026-176"/>
    <d v="2023-06-18T00:00:00"/>
    <d v="2026-06-18T00:00:00"/>
    <n v="4857.51"/>
    <x v="3"/>
    <s v="Active"/>
  </r>
  <r>
    <s v="Lapt-APA-0177"/>
    <s v="Laptop"/>
    <s v="Catalyst 9300 Gen9"/>
    <s v="SN708314"/>
    <x v="2"/>
    <s v="CT-Dell-2026-177"/>
    <d v="2023-09-21T00:00:00"/>
    <d v="2025-09-21T00:00:00"/>
    <n v="1789.47"/>
    <x v="1"/>
    <s v="Expired"/>
  </r>
  <r>
    <s v="Serv-AME-0178"/>
    <s v="Server"/>
    <s v="Catalyst 9300 Gen8"/>
    <s v="SN1019531"/>
    <x v="5"/>
    <s v="CT-HP I-2026-178"/>
    <d v="2024-01-17T00:00:00"/>
    <d v="2026-01-17T00:00:00"/>
    <n v="3866.18"/>
    <x v="0"/>
    <s v="Expired"/>
  </r>
  <r>
    <s v="Lapt-APA-0179"/>
    <s v="Laptop"/>
    <s v="ProLiant DL380 Gen9"/>
    <s v="SN510980"/>
    <x v="5"/>
    <s v="CT-HP I-2026-179"/>
    <d v="2023-11-03T00:00:00"/>
    <d v="2024-11-03T00:00:00"/>
    <n v="1381.41"/>
    <x v="1"/>
    <s v="Expired"/>
  </r>
  <r>
    <s v="Lapt-LAT-0180"/>
    <s v="Laptop"/>
    <s v="Catalyst 9300 Gen12"/>
    <s v="SN417768"/>
    <x v="2"/>
    <s v="CT-Dell-2026-180"/>
    <d v="2024-07-06T00:00:00"/>
    <d v="2027-07-06T00:00:00"/>
    <n v="1040.01"/>
    <x v="2"/>
    <s v="Active"/>
  </r>
  <r>
    <s v="Mobi-APA-0181"/>
    <s v="Mobile"/>
    <s v="Latitude 5430 Gen9"/>
    <s v="SN668691"/>
    <x v="2"/>
    <s v="CT-Dell-2026-181"/>
    <d v="2025-01-10T00:00:00"/>
    <d v="2027-01-10T00:00:00"/>
    <n v="1004.65"/>
    <x v="1"/>
    <s v="Active"/>
  </r>
  <r>
    <s v="Netw-LAT-0182"/>
    <s v="Network Gear"/>
    <s v="Latitude 5430 Gen11"/>
    <s v="SN593548"/>
    <x v="1"/>
    <s v="CT-Appl-2026-182"/>
    <d v="2025-02-17T00:00:00"/>
    <d v="2027-02-17T00:00:00"/>
    <n v="6903.47"/>
    <x v="2"/>
    <s v="Active"/>
  </r>
  <r>
    <s v="Netw-LAT-0183"/>
    <s v="Network Gear"/>
    <s v="ProLiant DL380 Gen11"/>
    <s v="SN642486"/>
    <x v="4"/>
    <s v="CT-Cisc-2026-183"/>
    <d v="2024-10-03T00:00:00"/>
    <d v="2027-10-03T00:00:00"/>
    <n v="2317.38"/>
    <x v="2"/>
    <s v="Active"/>
  </r>
  <r>
    <s v="Lapt-AME-0184"/>
    <s v="Laptop"/>
    <s v="ProLiant DL380 Gen11"/>
    <s v="SN250919"/>
    <x v="6"/>
    <s v="CT-Fuji-2026-184"/>
    <d v="2024-07-13T00:00:00"/>
    <d v="2027-07-13T00:00:00"/>
    <n v="1732.37"/>
    <x v="0"/>
    <s v="Active"/>
  </r>
  <r>
    <s v="Serv-EME-0185"/>
    <s v="Server"/>
    <s v="Latitude 5430 Gen12"/>
    <s v="SN1035306"/>
    <x v="6"/>
    <s v="CT-Fuji-2026-185"/>
    <d v="2023-11-03T00:00:00"/>
    <d v="2024-11-03T00:00:00"/>
    <n v="10915.32"/>
    <x v="3"/>
    <s v="Expired"/>
  </r>
  <r>
    <s v="Prin-AME-0186"/>
    <s v="Printer"/>
    <s v="MacBook Pro 16 Gen8"/>
    <s v="SN756099"/>
    <x v="0"/>
    <s v="CT-Sams-2026-186"/>
    <d v="2024-02-07T00:00:00"/>
    <d v="2026-02-07T00:00:00"/>
    <n v="1029.5"/>
    <x v="0"/>
    <s v="Expired"/>
  </r>
  <r>
    <s v="Mobi-APA-0187"/>
    <s v="Mobile"/>
    <s v="iPhone 14 Pro Gen11"/>
    <s v="SN512415"/>
    <x v="1"/>
    <s v="CT-Appl-2026-187"/>
    <d v="2024-03-14T00:00:00"/>
    <d v="2025-03-14T00:00:00"/>
    <n v="1076.93"/>
    <x v="1"/>
    <s v="Expired"/>
  </r>
  <r>
    <s v="Prin-AME-0188"/>
    <s v="Printer"/>
    <s v="MacBook Pro 16 Gen8"/>
    <s v="SN204373"/>
    <x v="6"/>
    <s v="CT-Fuji-2026-188"/>
    <d v="2024-02-14T00:00:00"/>
    <d v="2026-02-14T00:00:00"/>
    <n v="968.96"/>
    <x v="0"/>
    <s v="Expired"/>
  </r>
  <r>
    <s v="Lapt-AME-0189"/>
    <s v="Laptop"/>
    <s v="MacBook Pro 16 Gen10"/>
    <s v="SN616327"/>
    <x v="6"/>
    <s v="CT-Fuji-2026-189"/>
    <d v="2025-09-26T00:00:00"/>
    <d v="2028-09-26T00:00:00"/>
    <n v="1938.89"/>
    <x v="0"/>
    <s v="Active"/>
  </r>
  <r>
    <s v="Serv-LAT-0190"/>
    <s v="Server"/>
    <s v="EliteBook 840 Gen9"/>
    <s v="SN428389"/>
    <x v="3"/>
    <s v="CT-Leno-2026-190"/>
    <d v="2025-04-21T00:00:00"/>
    <d v="2028-04-21T00:00:00"/>
    <n v="3734.68"/>
    <x v="2"/>
    <s v="Active"/>
  </r>
  <r>
    <s v="Mobi-EME-0191"/>
    <s v="Mobile"/>
    <s v="Catalyst 9300 Gen8"/>
    <s v="SN882545"/>
    <x v="6"/>
    <s v="CT-Fuji-2026-191"/>
    <d v="2025-11-02T00:00:00"/>
    <d v="2027-11-02T00:00:00"/>
    <n v="1078.9100000000001"/>
    <x v="3"/>
    <s v="Active"/>
  </r>
  <r>
    <s v="Desk-EME-0192"/>
    <s v="Desktop"/>
    <s v="iPhone 14 Pro Gen10"/>
    <s v="SN729120"/>
    <x v="1"/>
    <s v="CT-Appl-2026-192"/>
    <d v="2024-11-25T00:00:00"/>
    <d v="2026-11-25T00:00:00"/>
    <n v="1716.18"/>
    <x v="3"/>
    <s v="Active"/>
  </r>
  <r>
    <s v="Desk-EME-0193"/>
    <s v="Desktop"/>
    <s v="ProLiant DL380 Gen10"/>
    <s v="SN912302"/>
    <x v="0"/>
    <s v="CT-Sams-2026-193"/>
    <d v="2024-07-18T00:00:00"/>
    <d v="2025-07-18T00:00:00"/>
    <n v="1296.27"/>
    <x v="3"/>
    <s v="Expired"/>
  </r>
  <r>
    <s v="Prin-AME-0194"/>
    <s v="Printer"/>
    <s v="ThinkPad X1 Gen12"/>
    <s v="SN360723"/>
    <x v="1"/>
    <s v="CT-Appl-2026-194"/>
    <d v="2025-07-20T00:00:00"/>
    <d v="2027-07-20T00:00:00"/>
    <n v="1109.8499999999999"/>
    <x v="0"/>
    <s v="Active"/>
  </r>
  <r>
    <s v="Desk-APA-0195"/>
    <s v="Desktop"/>
    <s v="ProLiant DL380 Gen8"/>
    <s v="SN308604"/>
    <x v="3"/>
    <s v="CT-Leno-2026-195"/>
    <d v="2025-06-25T00:00:00"/>
    <d v="2026-06-25T00:00:00"/>
    <n v="1707.54"/>
    <x v="1"/>
    <s v="Active"/>
  </r>
  <r>
    <s v="Desk-AME-0196"/>
    <s v="Desktop"/>
    <s v="iPhone 14 Pro Gen11"/>
    <s v="SN1050562"/>
    <x v="4"/>
    <s v="CT-Cisc-2026-196"/>
    <d v="2023-06-20T00:00:00"/>
    <d v="2024-06-20T00:00:00"/>
    <n v="1742.55"/>
    <x v="0"/>
    <s v="Expired"/>
  </r>
  <r>
    <s v="Mobi-LAT-0197"/>
    <s v="Mobile"/>
    <s v="ProLiant DL380 Gen9"/>
    <s v="SN631789"/>
    <x v="3"/>
    <s v="CT-Leno-2026-197"/>
    <d v="2024-12-13T00:00:00"/>
    <d v="2027-12-13T00:00:00"/>
    <n v="826.1"/>
    <x v="2"/>
    <s v="Active"/>
  </r>
  <r>
    <s v="Netw-EME-0198"/>
    <s v="Network Gear"/>
    <s v="EliteBook 840 Gen8"/>
    <s v="SN1085633"/>
    <x v="4"/>
    <s v="CT-Cisc-2026-198"/>
    <d v="2025-09-14T00:00:00"/>
    <d v="2027-09-14T00:00:00"/>
    <n v="4099.8599999999997"/>
    <x v="3"/>
    <s v="Active"/>
  </r>
  <r>
    <s v="Desk-AME-0199"/>
    <s v="Desktop"/>
    <s v="ProLiant DL380 Gen8"/>
    <s v="SN780884"/>
    <x v="4"/>
    <s v="CT-Cisc-2026-199"/>
    <d v="2025-11-10T00:00:00"/>
    <d v="2028-11-10T00:00:00"/>
    <n v="1542.46"/>
    <x v="0"/>
    <s v="Active"/>
  </r>
  <r>
    <s v="Serv-LAT-0200"/>
    <s v="Server"/>
    <s v="Catalyst 9300 Gen10"/>
    <s v="SN746643"/>
    <x v="6"/>
    <s v="CT-Fuji-2026-200"/>
    <d v="2025-07-30T00:00:00"/>
    <d v="2026-07-30T00:00:00"/>
    <n v="4381.4399999999996"/>
    <x v="2"/>
    <s v="Active"/>
  </r>
  <r>
    <s v="Desk-LAT-0201"/>
    <s v="Desktop"/>
    <s v="ThinkPad X1 Gen8"/>
    <s v="SN456977"/>
    <x v="2"/>
    <s v="CT-Dell-2026-201"/>
    <d v="2025-05-27T00:00:00"/>
    <d v="2027-05-27T00:00:00"/>
    <n v="1528.71"/>
    <x v="2"/>
    <s v="Active"/>
  </r>
  <r>
    <s v="Mobi-LAT-0202"/>
    <s v="Mobile"/>
    <s v="Catalyst 9300 Gen9"/>
    <s v="SN121003"/>
    <x v="6"/>
    <s v="CT-Fuji-2026-202"/>
    <d v="2023-06-25T00:00:00"/>
    <d v="2026-06-25T00:00:00"/>
    <n v="649.16999999999996"/>
    <x v="2"/>
    <s v="Active"/>
  </r>
  <r>
    <s v="Mobi-AME-0203"/>
    <s v="Mobile"/>
    <s v="ThinkPad X1 Gen9"/>
    <s v="SN614878"/>
    <x v="1"/>
    <s v="CT-Appl-2026-203"/>
    <d v="2023-08-16T00:00:00"/>
    <d v="2024-08-16T00:00:00"/>
    <n v="932.84"/>
    <x v="0"/>
    <s v="Expired"/>
  </r>
  <r>
    <s v="Lapt-AME-0204"/>
    <s v="Laptop"/>
    <s v="iPhone 14 Pro Gen8"/>
    <s v="SN575967"/>
    <x v="2"/>
    <s v="CT-Dell-2026-204"/>
    <d v="2023-08-18T00:00:00"/>
    <d v="2024-08-18T00:00:00"/>
    <n v="1031.3599999999999"/>
    <x v="0"/>
    <s v="Expired"/>
  </r>
  <r>
    <s v="Lapt-APA-0205"/>
    <s v="Laptop"/>
    <s v="Latitude 5430 Gen12"/>
    <s v="SN1059313"/>
    <x v="0"/>
    <s v="CT-Sams-2026-205"/>
    <d v="2024-04-05T00:00:00"/>
    <d v="2025-04-05T00:00:00"/>
    <n v="995.89"/>
    <x v="1"/>
    <s v="Expired"/>
  </r>
  <r>
    <s v="Prin-LAT-0206"/>
    <s v="Printer"/>
    <s v="Catalyst 9300 Gen10"/>
    <s v="SN423191"/>
    <x v="6"/>
    <s v="CT-Fuji-2026-206"/>
    <d v="2023-07-22T00:00:00"/>
    <d v="2025-07-22T00:00:00"/>
    <n v="791.22"/>
    <x v="2"/>
    <s v="Expired"/>
  </r>
  <r>
    <s v="Mobi-EME-0207"/>
    <s v="Mobile"/>
    <s v="EliteBook 840 Gen8"/>
    <s v="SN591897"/>
    <x v="2"/>
    <s v="CT-Dell-2026-207"/>
    <d v="2025-08-11T00:00:00"/>
    <d v="2027-08-11T00:00:00"/>
    <n v="693.86"/>
    <x v="3"/>
    <s v="Active"/>
  </r>
  <r>
    <s v="Mobi-APA-0208"/>
    <s v="Mobile"/>
    <s v="ProLiant DL380 Gen10"/>
    <s v="SN555930"/>
    <x v="6"/>
    <s v="CT-Fuji-2026-208"/>
    <d v="2024-05-02T00:00:00"/>
    <d v="2025-05-02T00:00:00"/>
    <n v="900.68"/>
    <x v="1"/>
    <s v="Expired"/>
  </r>
  <r>
    <s v="Serv-EME-0209"/>
    <s v="Server"/>
    <s v="MacBook Pro 16 Gen9"/>
    <s v="SN365131"/>
    <x v="3"/>
    <s v="CT-Leno-2026-209"/>
    <d v="2025-03-04T00:00:00"/>
    <d v="2027-03-04T00:00:00"/>
    <n v="5270.99"/>
    <x v="3"/>
    <s v="Active"/>
  </r>
  <r>
    <s v="Desk-APA-0210"/>
    <s v="Desktop"/>
    <s v="iPhone 14 Pro Gen11"/>
    <s v="SN1090159"/>
    <x v="6"/>
    <s v="CT-Fuji-2026-210"/>
    <d v="2025-11-13T00:00:00"/>
    <d v="2027-11-13T00:00:00"/>
    <n v="1320.51"/>
    <x v="1"/>
    <s v="Active"/>
  </r>
  <r>
    <s v="Mobi-LAT-0211"/>
    <s v="Mobile"/>
    <s v="EliteBook 840 Gen11"/>
    <s v="SN349696"/>
    <x v="6"/>
    <s v="CT-Fuji-2026-211"/>
    <d v="2025-05-19T00:00:00"/>
    <d v="2027-05-19T00:00:00"/>
    <n v="1135.1400000000001"/>
    <x v="2"/>
    <s v="Active"/>
  </r>
  <r>
    <s v="Mobi-LAT-0212"/>
    <s v="Mobile"/>
    <s v="EliteBook 840 Gen10"/>
    <s v="SN290840"/>
    <x v="6"/>
    <s v="CT-Fuji-2026-212"/>
    <d v="2024-09-12T00:00:00"/>
    <d v="2026-09-12T00:00:00"/>
    <n v="993.82"/>
    <x v="2"/>
    <s v="Active"/>
  </r>
  <r>
    <s v="Netw-LAT-0213"/>
    <s v="Network Gear"/>
    <s v="EliteBook 840 Gen10"/>
    <s v="SN1071265"/>
    <x v="6"/>
    <s v="CT-Fuji-2026-213"/>
    <d v="2023-09-22T00:00:00"/>
    <d v="2025-09-22T00:00:00"/>
    <n v="2772.54"/>
    <x v="2"/>
    <s v="Expired"/>
  </r>
  <r>
    <s v="Lapt-AME-0214"/>
    <s v="Laptop"/>
    <s v="ThinkPad X1 Gen10"/>
    <s v="SN314596"/>
    <x v="4"/>
    <s v="CT-Cisc-2026-214"/>
    <d v="2025-03-21T00:00:00"/>
    <d v="2027-03-21T00:00:00"/>
    <n v="981.27"/>
    <x v="0"/>
    <s v="Active"/>
  </r>
  <r>
    <s v="Mobi-EME-0215"/>
    <s v="Mobile"/>
    <s v="iPhone 14 Pro Gen11"/>
    <s v="SN1023103"/>
    <x v="1"/>
    <s v="CT-Appl-2026-215"/>
    <d v="2023-12-17T00:00:00"/>
    <d v="2026-12-17T00:00:00"/>
    <n v="1084.98"/>
    <x v="3"/>
    <s v="Active"/>
  </r>
  <r>
    <s v="Netw-LAT-0216"/>
    <s v="Network Gear"/>
    <s v="ThinkPad X1 Gen12"/>
    <s v="SN550046"/>
    <x v="4"/>
    <s v="CT-Cisc-2026-216"/>
    <d v="2023-03-18T00:00:00"/>
    <d v="2024-03-18T00:00:00"/>
    <n v="6117.88"/>
    <x v="2"/>
    <s v="Expired"/>
  </r>
  <r>
    <s v="Prin-APA-0217"/>
    <s v="Printer"/>
    <s v="EliteBook 840 Gen11"/>
    <s v="SN410690"/>
    <x v="4"/>
    <s v="CT-Cisc-2026-217"/>
    <d v="2023-04-28T00:00:00"/>
    <d v="2026-04-28T00:00:00"/>
    <n v="1087.94"/>
    <x v="1"/>
    <s v="Active"/>
  </r>
  <r>
    <s v="Prin-AME-0218"/>
    <s v="Printer"/>
    <s v="EliteBook 840 Gen11"/>
    <s v="SN587041"/>
    <x v="2"/>
    <s v="CT-Dell-2026-218"/>
    <d v="2025-01-30T00:00:00"/>
    <d v="2028-01-30T00:00:00"/>
    <n v="1067.0899999999999"/>
    <x v="0"/>
    <s v="Active"/>
  </r>
  <r>
    <s v="Serv-LAT-0219"/>
    <s v="Server"/>
    <s v="iPhone 14 Pro Gen12"/>
    <s v="SN134640"/>
    <x v="6"/>
    <s v="CT-Fuji-2026-219"/>
    <d v="2025-11-09T00:00:00"/>
    <d v="2028-11-09T00:00:00"/>
    <n v="7380.4"/>
    <x v="2"/>
    <s v="Active"/>
  </r>
  <r>
    <s v="Desk-EME-0220"/>
    <s v="Desktop"/>
    <s v="EliteBook 840 Gen11"/>
    <s v="SN1096060"/>
    <x v="5"/>
    <s v="CT-HP I-2026-220"/>
    <d v="2024-04-15T00:00:00"/>
    <d v="2027-04-15T00:00:00"/>
    <n v="1222.92"/>
    <x v="3"/>
    <s v="Active"/>
  </r>
  <r>
    <s v="Netw-EME-0221"/>
    <s v="Network Gear"/>
    <s v="iPhone 14 Pro Gen9"/>
    <s v="SN168133"/>
    <x v="5"/>
    <s v="CT-HP I-2026-221"/>
    <d v="2023-05-05T00:00:00"/>
    <d v="2024-05-05T00:00:00"/>
    <n v="3687.18"/>
    <x v="3"/>
    <s v="Expired"/>
  </r>
  <r>
    <s v="Lapt-AME-0222"/>
    <s v="Laptop"/>
    <s v="iPhone 14 Pro Gen11"/>
    <s v="SN149011"/>
    <x v="5"/>
    <s v="CT-HP I-2026-222"/>
    <d v="2023-09-12T00:00:00"/>
    <d v="2024-09-12T00:00:00"/>
    <n v="1278.48"/>
    <x v="0"/>
    <s v="Expired"/>
  </r>
  <r>
    <s v="Netw-APA-0223"/>
    <s v="Network Gear"/>
    <s v="ThinkPad X1 Gen11"/>
    <s v="SN735147"/>
    <x v="6"/>
    <s v="CT-Fuji-2026-223"/>
    <d v="2025-05-08T00:00:00"/>
    <d v="2028-05-08T00:00:00"/>
    <n v="3184.56"/>
    <x v="1"/>
    <s v="Active"/>
  </r>
  <r>
    <s v="Prin-AME-0224"/>
    <s v="Printer"/>
    <s v="ProLiant DL380 Gen12"/>
    <s v="SN762683"/>
    <x v="4"/>
    <s v="CT-Cisc-2026-224"/>
    <d v="2024-01-02T00:00:00"/>
    <d v="2026-01-02T00:00:00"/>
    <n v="934.25"/>
    <x v="0"/>
    <s v="Expired"/>
  </r>
  <r>
    <s v="Mobi-EME-0225"/>
    <s v="Mobile"/>
    <s v="iPhone 14 Pro Gen10"/>
    <s v="SN945705"/>
    <x v="4"/>
    <s v="CT-Cisc-2026-225"/>
    <d v="2024-07-06T00:00:00"/>
    <d v="2027-07-06T00:00:00"/>
    <n v="910.52"/>
    <x v="3"/>
    <s v="Active"/>
  </r>
  <r>
    <s v="Prin-AME-0226"/>
    <s v="Printer"/>
    <s v="ThinkPad X1 Gen9"/>
    <s v="SN696121"/>
    <x v="0"/>
    <s v="CT-Sams-2026-226"/>
    <d v="2023-05-21T00:00:00"/>
    <d v="2026-05-21T00:00:00"/>
    <n v="801.2"/>
    <x v="0"/>
    <s v="Active"/>
  </r>
  <r>
    <s v="Serv-AME-0227"/>
    <s v="Server"/>
    <s v="ProLiant DL380 Gen10"/>
    <s v="SN794414"/>
    <x v="5"/>
    <s v="CT-HP I-2026-227"/>
    <d v="2024-12-22T00:00:00"/>
    <d v="2027-12-22T00:00:00"/>
    <n v="8036.92"/>
    <x v="0"/>
    <s v="Active"/>
  </r>
  <r>
    <s v="Desk-LAT-0228"/>
    <s v="Desktop"/>
    <s v="ThinkPad X1 Gen12"/>
    <s v="SN783131"/>
    <x v="2"/>
    <s v="CT-Dell-2026-228"/>
    <d v="2025-01-05T00:00:00"/>
    <d v="2027-01-05T00:00:00"/>
    <n v="1292.48"/>
    <x v="2"/>
    <s v="Active"/>
  </r>
  <r>
    <s v="Prin-LAT-0229"/>
    <s v="Printer"/>
    <s v="EliteBook 840 Gen11"/>
    <s v="SN678528"/>
    <x v="1"/>
    <s v="CT-Appl-2026-229"/>
    <d v="2024-07-26T00:00:00"/>
    <d v="2026-07-26T00:00:00"/>
    <n v="671.58"/>
    <x v="2"/>
    <s v="Active"/>
  </r>
  <r>
    <s v="Netw-EME-0230"/>
    <s v="Network Gear"/>
    <s v="Catalyst 9300 Gen8"/>
    <s v="SN331218"/>
    <x v="1"/>
    <s v="CT-Appl-2026-230"/>
    <d v="2024-02-19T00:00:00"/>
    <d v="2025-02-19T00:00:00"/>
    <n v="6014.32"/>
    <x v="3"/>
    <s v="Expired"/>
  </r>
  <r>
    <s v="Serv-LAT-0231"/>
    <s v="Server"/>
    <s v="MacBook Pro 16 Gen10"/>
    <s v="SN841799"/>
    <x v="1"/>
    <s v="CT-Appl-2026-231"/>
    <d v="2023-04-23T00:00:00"/>
    <d v="2024-04-23T00:00:00"/>
    <n v="10463.969999999999"/>
    <x v="2"/>
    <s v="Expired"/>
  </r>
  <r>
    <s v="Serv-EME-0232"/>
    <s v="Server"/>
    <s v="ThinkPad X1 Gen8"/>
    <s v="SN368159"/>
    <x v="2"/>
    <s v="CT-Dell-2026-232"/>
    <d v="2023-10-14T00:00:00"/>
    <d v="2024-10-14T00:00:00"/>
    <n v="10118.52"/>
    <x v="3"/>
    <s v="Expired"/>
  </r>
  <r>
    <s v="Lapt-AME-0233"/>
    <s v="Laptop"/>
    <s v="Catalyst 9300 Gen8"/>
    <s v="SN400354"/>
    <x v="4"/>
    <s v="CT-Cisc-2026-233"/>
    <d v="2025-02-14T00:00:00"/>
    <d v="2027-02-14T00:00:00"/>
    <n v="895.34"/>
    <x v="0"/>
    <s v="Active"/>
  </r>
  <r>
    <s v="Netw-APA-0234"/>
    <s v="Network Gear"/>
    <s v="ThinkPad X1 Gen10"/>
    <s v="SN767496"/>
    <x v="4"/>
    <s v="CT-Cisc-2026-234"/>
    <d v="2025-06-05T00:00:00"/>
    <d v="2028-06-05T00:00:00"/>
    <n v="4420.17"/>
    <x v="1"/>
    <s v="Active"/>
  </r>
  <r>
    <s v="Mobi-LAT-0235"/>
    <s v="Mobile"/>
    <s v="iPhone 14 Pro Gen9"/>
    <s v="SN856854"/>
    <x v="1"/>
    <s v="CT-Appl-2026-235"/>
    <d v="2025-12-24T00:00:00"/>
    <d v="2028-12-24T00:00:00"/>
    <n v="831.97"/>
    <x v="2"/>
    <s v="Active"/>
  </r>
  <r>
    <s v="Prin-LAT-0236"/>
    <s v="Printer"/>
    <s v="ThinkPad X1 Gen8"/>
    <s v="SN534183"/>
    <x v="5"/>
    <s v="CT-HP I-2026-236"/>
    <d v="2024-01-08T00:00:00"/>
    <d v="2026-01-08T00:00:00"/>
    <n v="730.22"/>
    <x v="2"/>
    <s v="Expired"/>
  </r>
  <r>
    <s v="Prin-AME-0237"/>
    <s v="Printer"/>
    <s v="iPhone 14 Pro Gen9"/>
    <s v="SN259191"/>
    <x v="2"/>
    <s v="CT-Dell-2026-237"/>
    <d v="2025-10-26T00:00:00"/>
    <d v="2027-10-26T00:00:00"/>
    <n v="1142.94"/>
    <x v="0"/>
    <s v="Active"/>
  </r>
  <r>
    <s v="Prin-LAT-0238"/>
    <s v="Printer"/>
    <s v="Latitude 5430 Gen12"/>
    <s v="SN781629"/>
    <x v="1"/>
    <s v="CT-Appl-2026-238"/>
    <d v="2024-04-24T00:00:00"/>
    <d v="2027-04-24T00:00:00"/>
    <n v="409.89"/>
    <x v="2"/>
    <s v="Active"/>
  </r>
  <r>
    <s v="Lapt-EME-0239"/>
    <s v="Laptop"/>
    <s v="MacBook Pro 16 Gen10"/>
    <s v="SN409953"/>
    <x v="1"/>
    <s v="CT-Appl-2026-239"/>
    <d v="2025-12-08T00:00:00"/>
    <d v="2028-12-08T00:00:00"/>
    <n v="1283.48"/>
    <x v="3"/>
    <s v="Active"/>
  </r>
  <r>
    <s v="Desk-LAT-0240"/>
    <s v="Desktop"/>
    <s v="Latitude 5430 Gen10"/>
    <s v="SN181413"/>
    <x v="3"/>
    <s v="CT-Leno-2026-240"/>
    <d v="2025-05-22T00:00:00"/>
    <d v="2027-05-22T00:00:00"/>
    <n v="1758.39"/>
    <x v="2"/>
    <s v="Active"/>
  </r>
  <r>
    <s v="Serv-AME-0241"/>
    <s v="Server"/>
    <s v="Catalyst 9300 Gen12"/>
    <s v="SN782933"/>
    <x v="3"/>
    <s v="CT-Leno-2026-241"/>
    <d v="2023-09-22T00:00:00"/>
    <d v="2026-09-22T00:00:00"/>
    <n v="10072.459999999999"/>
    <x v="0"/>
    <s v="Active"/>
  </r>
  <r>
    <s v="Desk-EME-0242"/>
    <s v="Desktop"/>
    <s v="Catalyst 9300 Gen8"/>
    <s v="SN916889"/>
    <x v="5"/>
    <s v="CT-HP I-2026-242"/>
    <d v="2024-09-30T00:00:00"/>
    <d v="2027-09-30T00:00:00"/>
    <n v="988.34"/>
    <x v="3"/>
    <s v="Active"/>
  </r>
  <r>
    <s v="Desk-APA-0243"/>
    <s v="Desktop"/>
    <s v="ThinkPad X1 Gen11"/>
    <s v="SN1052914"/>
    <x v="3"/>
    <s v="CT-Leno-2026-243"/>
    <d v="2024-12-14T00:00:00"/>
    <d v="2026-12-14T00:00:00"/>
    <n v="1649.27"/>
    <x v="1"/>
    <s v="Active"/>
  </r>
  <r>
    <s v="Desk-LAT-0244"/>
    <s v="Desktop"/>
    <s v="ProLiant DL380 Gen8"/>
    <s v="SN421968"/>
    <x v="3"/>
    <s v="CT-Leno-2026-244"/>
    <d v="2023-06-18T00:00:00"/>
    <d v="2026-06-18T00:00:00"/>
    <n v="1874.24"/>
    <x v="2"/>
    <s v="Active"/>
  </r>
  <r>
    <s v="Desk-APA-0245"/>
    <s v="Desktop"/>
    <s v="ThinkPad X1 Gen11"/>
    <s v="SN394983"/>
    <x v="5"/>
    <s v="CT-HP I-2026-245"/>
    <d v="2023-12-17T00:00:00"/>
    <d v="2026-12-17T00:00:00"/>
    <n v="1416.51"/>
    <x v="1"/>
    <s v="Active"/>
  </r>
  <r>
    <s v="Mobi-AME-0246"/>
    <s v="Mobile"/>
    <s v="Catalyst 9300 Gen12"/>
    <s v="SN436279"/>
    <x v="1"/>
    <s v="CT-Appl-2026-246"/>
    <d v="2025-02-27T00:00:00"/>
    <d v="2026-02-27T00:00:00"/>
    <n v="752.57"/>
    <x v="0"/>
    <s v="Expired"/>
  </r>
  <r>
    <s v="Serv-APA-0247"/>
    <s v="Server"/>
    <s v="Latitude 5430 Gen8"/>
    <s v="SN959628"/>
    <x v="3"/>
    <s v="CT-Leno-2026-247"/>
    <d v="2024-05-31T00:00:00"/>
    <d v="2026-05-31T00:00:00"/>
    <n v="5848.78"/>
    <x v="1"/>
    <s v="Active"/>
  </r>
  <r>
    <s v="Mobi-LAT-0248"/>
    <s v="Mobile"/>
    <s v="EliteBook 840 Gen10"/>
    <s v="SN158012"/>
    <x v="5"/>
    <s v="CT-HP I-2026-248"/>
    <d v="2023-12-02T00:00:00"/>
    <d v="2024-12-02T00:00:00"/>
    <n v="768.93"/>
    <x v="2"/>
    <s v="Expired"/>
  </r>
  <r>
    <s v="Prin-AME-0249"/>
    <s v="Printer"/>
    <s v="Catalyst 9300 Gen11"/>
    <s v="SN179873"/>
    <x v="1"/>
    <s v="CT-Appl-2026-249"/>
    <d v="2025-08-06T00:00:00"/>
    <d v="2027-08-06T00:00:00"/>
    <n v="1128.29"/>
    <x v="0"/>
    <s v="Active"/>
  </r>
  <r>
    <s v="Serv-EME-0250"/>
    <s v="Server"/>
    <s v="iPhone 14 Pro Gen8"/>
    <s v="SN525649"/>
    <x v="2"/>
    <s v="CT-Dell-2026-250"/>
    <d v="2023-04-14T00:00:00"/>
    <d v="2026-04-14T00:00:00"/>
    <n v="9290.93"/>
    <x v="3"/>
    <s v="Expired"/>
  </r>
  <r>
    <s v="Desk-EME-0251"/>
    <s v="Desktop"/>
    <s v="ProLiant DL380 Gen10"/>
    <s v="SN816678"/>
    <x v="0"/>
    <s v="CT-Sams-2026-251"/>
    <d v="2024-04-21T00:00:00"/>
    <d v="2027-04-21T00:00:00"/>
    <n v="1172.27"/>
    <x v="3"/>
    <s v="Active"/>
  </r>
  <r>
    <s v="Lapt-AME-0252"/>
    <s v="Laptop"/>
    <s v="Latitude 5430 Gen12"/>
    <s v="SN909866"/>
    <x v="4"/>
    <s v="CT-Cisc-2026-252"/>
    <d v="2026-01-01T00:00:00"/>
    <d v="2029-01-01T00:00:00"/>
    <n v="1815.75"/>
    <x v="0"/>
    <s v="Active"/>
  </r>
  <r>
    <s v="Netw-APA-0253"/>
    <s v="Network Gear"/>
    <s v="EliteBook 840 Gen9"/>
    <s v="SN898893"/>
    <x v="5"/>
    <s v="CT-HP I-2026-253"/>
    <d v="2024-10-19T00:00:00"/>
    <d v="2026-10-19T00:00:00"/>
    <n v="5220.05"/>
    <x v="1"/>
    <s v="Active"/>
  </r>
  <r>
    <s v="Prin-AME-0254"/>
    <s v="Printer"/>
    <s v="ThinkPad X1 Gen8"/>
    <s v="SN746828"/>
    <x v="5"/>
    <s v="CT-HP I-2026-254"/>
    <d v="2023-03-28T00:00:00"/>
    <d v="2026-03-28T00:00:00"/>
    <n v="1067.05"/>
    <x v="0"/>
    <s v="Expired"/>
  </r>
  <r>
    <s v="Lapt-AME-0255"/>
    <s v="Laptop"/>
    <s v="EliteBook 840 Gen11"/>
    <s v="SN963970"/>
    <x v="0"/>
    <s v="CT-Sams-2026-255"/>
    <d v="2024-06-30T00:00:00"/>
    <d v="2027-06-30T00:00:00"/>
    <n v="1121.22"/>
    <x v="0"/>
    <s v="Active"/>
  </r>
  <r>
    <s v="Serv-APA-0256"/>
    <s v="Server"/>
    <s v="ProLiant DL380 Gen12"/>
    <s v="SN894147"/>
    <x v="5"/>
    <s v="CT-HP I-2026-256"/>
    <d v="2023-03-27T00:00:00"/>
    <d v="2026-03-27T00:00:00"/>
    <n v="8930.66"/>
    <x v="1"/>
    <s v="Expired"/>
  </r>
  <r>
    <s v="Lapt-APA-0257"/>
    <s v="Laptop"/>
    <s v="EliteBook 840 Gen11"/>
    <s v="SN255721"/>
    <x v="6"/>
    <s v="CT-Fuji-2026-257"/>
    <d v="2023-03-22T00:00:00"/>
    <d v="2025-03-22T00:00:00"/>
    <n v="1883.59"/>
    <x v="1"/>
    <s v="Expired"/>
  </r>
  <r>
    <s v="Desk-AME-0258"/>
    <s v="Desktop"/>
    <s v="Catalyst 9300 Gen10"/>
    <s v="SN740747"/>
    <x v="2"/>
    <s v="CT-Dell-2026-258"/>
    <d v="2023-11-08T00:00:00"/>
    <d v="2025-11-08T00:00:00"/>
    <n v="1659.82"/>
    <x v="0"/>
    <s v="Expired"/>
  </r>
  <r>
    <s v="Lapt-APA-0259"/>
    <s v="Laptop"/>
    <s v="iPhone 14 Pro Gen9"/>
    <s v="SN785353"/>
    <x v="2"/>
    <s v="CT-Dell-2026-259"/>
    <d v="2025-04-06T00:00:00"/>
    <d v="2027-04-06T00:00:00"/>
    <n v="1387.42"/>
    <x v="1"/>
    <s v="Active"/>
  </r>
  <r>
    <s v="Prin-EME-0260"/>
    <s v="Printer"/>
    <s v="Catalyst 9300 Gen9"/>
    <s v="SN351882"/>
    <x v="3"/>
    <s v="CT-Leno-2026-260"/>
    <d v="2024-05-03T00:00:00"/>
    <d v="2025-05-03T00:00:00"/>
    <n v="566.75"/>
    <x v="3"/>
    <s v="Expired"/>
  </r>
  <r>
    <s v="Lapt-AME-0261"/>
    <s v="Laptop"/>
    <s v="Catalyst 9300 Gen9"/>
    <s v="SN412036"/>
    <x v="0"/>
    <s v="CT-Sams-2026-261"/>
    <d v="2023-08-14T00:00:00"/>
    <d v="2024-08-14T00:00:00"/>
    <n v="1411.27"/>
    <x v="0"/>
    <s v="Expired"/>
  </r>
  <r>
    <s v="Netw-LAT-0262"/>
    <s v="Network Gear"/>
    <s v="Catalyst 9300 Gen8"/>
    <s v="SN180562"/>
    <x v="0"/>
    <s v="CT-Sams-2026-262"/>
    <d v="2024-04-01T00:00:00"/>
    <d v="2026-04-01T00:00:00"/>
    <n v="5171.2"/>
    <x v="2"/>
    <s v="Expired"/>
  </r>
  <r>
    <s v="Lapt-LAT-0263"/>
    <s v="Laptop"/>
    <s v="EliteBook 840 Gen8"/>
    <s v="SN349248"/>
    <x v="2"/>
    <s v="CT-Dell-2026-263"/>
    <d v="2024-01-10T00:00:00"/>
    <d v="2025-01-10T00:00:00"/>
    <n v="1779.06"/>
    <x v="2"/>
    <s v="Expired"/>
  </r>
  <r>
    <s v="Serv-LAT-0264"/>
    <s v="Server"/>
    <s v="Latitude 5430 Gen11"/>
    <s v="SN126637"/>
    <x v="3"/>
    <s v="CT-Leno-2026-264"/>
    <d v="2025-06-21T00:00:00"/>
    <d v="2028-06-21T00:00:00"/>
    <n v="8271.61"/>
    <x v="2"/>
    <s v="Active"/>
  </r>
  <r>
    <s v="Mobi-APA-0265"/>
    <s v="Mobile"/>
    <s v="Catalyst 9300 Gen12"/>
    <s v="SN753154"/>
    <x v="0"/>
    <s v="CT-Sams-2026-265"/>
    <d v="2024-10-10T00:00:00"/>
    <d v="2026-10-10T00:00:00"/>
    <n v="748.32"/>
    <x v="1"/>
    <s v="Active"/>
  </r>
  <r>
    <s v="Serv-EME-0266"/>
    <s v="Server"/>
    <s v="Latitude 5430 Gen12"/>
    <s v="SN974781"/>
    <x v="5"/>
    <s v="CT-HP I-2026-266"/>
    <d v="2025-09-01T00:00:00"/>
    <d v="2027-09-01T00:00:00"/>
    <n v="7458.11"/>
    <x v="3"/>
    <s v="Active"/>
  </r>
  <r>
    <s v="Desk-APA-0267"/>
    <s v="Desktop"/>
    <s v="EliteBook 840 Gen11"/>
    <s v="SN299270"/>
    <x v="3"/>
    <s v="CT-Leno-2026-267"/>
    <d v="2023-05-25T00:00:00"/>
    <d v="2025-05-25T00:00:00"/>
    <n v="1467.97"/>
    <x v="1"/>
    <s v="Expired"/>
  </r>
  <r>
    <s v="Desk-AME-0268"/>
    <s v="Desktop"/>
    <s v="iPhone 14 Pro Gen8"/>
    <s v="SN492643"/>
    <x v="4"/>
    <s v="CT-Cisc-2026-268"/>
    <d v="2023-08-31T00:00:00"/>
    <d v="2024-08-31T00:00:00"/>
    <n v="1251.3800000000001"/>
    <x v="0"/>
    <s v="Expired"/>
  </r>
  <r>
    <s v="Desk-LAT-0269"/>
    <s v="Desktop"/>
    <s v="ThinkPad X1 Gen9"/>
    <s v="SN903647"/>
    <x v="1"/>
    <s v="CT-Appl-2026-269"/>
    <d v="2024-08-18T00:00:00"/>
    <d v="2025-08-18T00:00:00"/>
    <n v="1328.55"/>
    <x v="2"/>
    <s v="Expired"/>
  </r>
  <r>
    <s v="Serv-LAT-0270"/>
    <s v="Server"/>
    <s v="ProLiant DL380 Gen8"/>
    <s v="SN720390"/>
    <x v="0"/>
    <s v="CT-Sams-2026-270"/>
    <d v="2023-07-19T00:00:00"/>
    <d v="2026-07-19T00:00:00"/>
    <n v="8435.9500000000007"/>
    <x v="2"/>
    <s v="Active"/>
  </r>
  <r>
    <s v="Lapt-APA-0271"/>
    <s v="Laptop"/>
    <s v="Latitude 5430 Gen9"/>
    <s v="SN994854"/>
    <x v="4"/>
    <s v="CT-Cisc-2026-271"/>
    <d v="2023-06-01T00:00:00"/>
    <d v="2025-06-01T00:00:00"/>
    <n v="1633.44"/>
    <x v="1"/>
    <s v="Expired"/>
  </r>
  <r>
    <s v="Prin-AME-0272"/>
    <s v="Printer"/>
    <s v="ThinkPad X1 Gen10"/>
    <s v="SN232921"/>
    <x v="3"/>
    <s v="CT-Leno-2026-272"/>
    <d v="2023-07-12T00:00:00"/>
    <d v="2024-07-12T00:00:00"/>
    <n v="674.79"/>
    <x v="0"/>
    <s v="Expired"/>
  </r>
  <r>
    <s v="Serv-APA-0273"/>
    <s v="Server"/>
    <s v="ThinkPad X1 Gen10"/>
    <s v="SN992972"/>
    <x v="2"/>
    <s v="CT-Dell-2026-273"/>
    <d v="2025-08-27T00:00:00"/>
    <d v="2028-08-27T00:00:00"/>
    <n v="9750.8799999999992"/>
    <x v="1"/>
    <s v="Active"/>
  </r>
  <r>
    <s v="Lapt-APA-0274"/>
    <s v="Laptop"/>
    <s v="MacBook Pro 16 Gen9"/>
    <s v="SN405974"/>
    <x v="3"/>
    <s v="CT-Leno-2026-274"/>
    <d v="2025-11-02T00:00:00"/>
    <d v="2027-11-02T00:00:00"/>
    <n v="1695.92"/>
    <x v="1"/>
    <s v="Active"/>
  </r>
  <r>
    <s v="Netw-LAT-0275"/>
    <s v="Network Gear"/>
    <s v="EliteBook 840 Gen10"/>
    <s v="SN901885"/>
    <x v="2"/>
    <s v="CT-Dell-2026-275"/>
    <d v="2025-02-01T00:00:00"/>
    <d v="2028-02-01T00:00:00"/>
    <n v="3691.31"/>
    <x v="2"/>
    <s v="Active"/>
  </r>
  <r>
    <s v="Desk-LAT-0276"/>
    <s v="Desktop"/>
    <s v="iPhone 14 Pro Gen8"/>
    <s v="SN967403"/>
    <x v="2"/>
    <s v="CT-Dell-2026-276"/>
    <d v="2025-03-14T00:00:00"/>
    <d v="2026-03-14T00:00:00"/>
    <n v="1637.3"/>
    <x v="2"/>
    <s v="Expired"/>
  </r>
  <r>
    <s v="Desk-AME-0277"/>
    <s v="Desktop"/>
    <s v="ProLiant DL380 Gen10"/>
    <s v="SN171093"/>
    <x v="1"/>
    <s v="CT-Appl-2026-277"/>
    <d v="2024-07-07T00:00:00"/>
    <d v="2025-07-07T00:00:00"/>
    <n v="1290.08"/>
    <x v="0"/>
    <s v="Expired"/>
  </r>
  <r>
    <s v="Mobi-AME-0278"/>
    <s v="Mobile"/>
    <s v="iPhone 14 Pro Gen9"/>
    <s v="SN364847"/>
    <x v="6"/>
    <s v="CT-Fuji-2026-278"/>
    <d v="2025-08-11T00:00:00"/>
    <d v="2028-08-11T00:00:00"/>
    <n v="792.98"/>
    <x v="0"/>
    <s v="Active"/>
  </r>
  <r>
    <s v="Prin-LAT-0279"/>
    <s v="Printer"/>
    <s v="Catalyst 9300 Gen10"/>
    <s v="SN233312"/>
    <x v="1"/>
    <s v="CT-Appl-2026-279"/>
    <d v="2024-02-25T00:00:00"/>
    <d v="2026-02-25T00:00:00"/>
    <n v="740.5"/>
    <x v="2"/>
    <s v="Expired"/>
  </r>
  <r>
    <s v="Desk-AME-0280"/>
    <s v="Desktop"/>
    <s v="EliteBook 840 Gen9"/>
    <s v="SN731065"/>
    <x v="1"/>
    <s v="CT-Appl-2026-280"/>
    <d v="2023-07-25T00:00:00"/>
    <d v="2025-07-25T00:00:00"/>
    <n v="1318.59"/>
    <x v="0"/>
    <s v="Expired"/>
  </r>
  <r>
    <s v="Desk-AME-0281"/>
    <s v="Desktop"/>
    <s v="Latitude 5430 Gen12"/>
    <s v="SN374104"/>
    <x v="5"/>
    <s v="CT-HP I-2026-281"/>
    <d v="2024-12-12T00:00:00"/>
    <d v="2025-12-12T00:00:00"/>
    <n v="1081.3800000000001"/>
    <x v="0"/>
    <s v="Expired"/>
  </r>
  <r>
    <s v="Serv-APA-0282"/>
    <s v="Server"/>
    <s v="MacBook Pro 16 Gen8"/>
    <s v="SN478173"/>
    <x v="4"/>
    <s v="CT-Cisc-2026-282"/>
    <d v="2023-11-10T00:00:00"/>
    <d v="2025-11-10T00:00:00"/>
    <n v="11405.08"/>
    <x v="1"/>
    <s v="Expired"/>
  </r>
  <r>
    <s v="Serv-APA-0283"/>
    <s v="Server"/>
    <s v="MacBook Pro 16 Gen10"/>
    <s v="SN839782"/>
    <x v="2"/>
    <s v="CT-Dell-2026-283"/>
    <d v="2025-01-25T00:00:00"/>
    <d v="2026-01-25T00:00:00"/>
    <n v="8913.27"/>
    <x v="1"/>
    <s v="Expired"/>
  </r>
  <r>
    <s v="Netw-EME-0284"/>
    <s v="Network Gear"/>
    <s v="ThinkPad X1 Gen12"/>
    <s v="SN802042"/>
    <x v="4"/>
    <s v="CT-Cisc-2026-284"/>
    <d v="2024-09-04T00:00:00"/>
    <d v="2025-09-04T00:00:00"/>
    <n v="6872.55"/>
    <x v="3"/>
    <s v="Expired"/>
  </r>
  <r>
    <s v="Lapt-LAT-0285"/>
    <s v="Laptop"/>
    <s v="ProLiant DL380 Gen9"/>
    <s v="SN339859"/>
    <x v="3"/>
    <s v="CT-Leno-2026-285"/>
    <d v="2025-11-26T00:00:00"/>
    <d v="2028-11-26T00:00:00"/>
    <n v="1430.06"/>
    <x v="2"/>
    <s v="Active"/>
  </r>
  <r>
    <s v="Prin-LAT-0286"/>
    <s v="Printer"/>
    <s v="ProLiant DL380 Gen9"/>
    <s v="SN628094"/>
    <x v="6"/>
    <s v="CT-Fuji-2026-286"/>
    <d v="2024-07-29T00:00:00"/>
    <d v="2027-07-29T00:00:00"/>
    <n v="692.65"/>
    <x v="2"/>
    <s v="Active"/>
  </r>
  <r>
    <s v="Desk-LAT-0287"/>
    <s v="Desktop"/>
    <s v="Catalyst 9300 Gen9"/>
    <s v="SN350264"/>
    <x v="2"/>
    <s v="CT-Dell-2026-287"/>
    <d v="2024-04-24T00:00:00"/>
    <d v="2025-04-24T00:00:00"/>
    <n v="1756.09"/>
    <x v="2"/>
    <s v="Expired"/>
  </r>
  <r>
    <s v="Lapt-AME-0288"/>
    <s v="Laptop"/>
    <s v="MacBook Pro 16 Gen12"/>
    <s v="SN779762"/>
    <x v="3"/>
    <s v="CT-Leno-2026-288"/>
    <d v="2025-07-03T00:00:00"/>
    <d v="2027-07-03T00:00:00"/>
    <n v="893.35"/>
    <x v="0"/>
    <s v="Active"/>
  </r>
  <r>
    <s v="Desk-AME-0289"/>
    <s v="Desktop"/>
    <s v="Latitude 5430 Gen12"/>
    <s v="SN873596"/>
    <x v="1"/>
    <s v="CT-Appl-2026-289"/>
    <d v="2023-12-12T00:00:00"/>
    <d v="2024-12-12T00:00:00"/>
    <n v="1671.44"/>
    <x v="0"/>
    <s v="Expired"/>
  </r>
  <r>
    <s v="Lapt-APA-0290"/>
    <s v="Laptop"/>
    <s v="iPhone 14 Pro Gen10"/>
    <s v="SN400852"/>
    <x v="2"/>
    <s v="CT-Dell-2026-290"/>
    <d v="2026-02-08T00:00:00"/>
    <d v="2027-02-08T00:00:00"/>
    <n v="876.33"/>
    <x v="1"/>
    <s v="Active"/>
  </r>
  <r>
    <s v="Lapt-APA-0291"/>
    <s v="Laptop"/>
    <s v="EliteBook 840 Gen8"/>
    <s v="SN562668"/>
    <x v="0"/>
    <s v="CT-Sams-2026-291"/>
    <d v="2025-11-16T00:00:00"/>
    <d v="2027-11-16T00:00:00"/>
    <n v="1915.69"/>
    <x v="1"/>
    <s v="Active"/>
  </r>
  <r>
    <s v="Serv-LAT-0292"/>
    <s v="Server"/>
    <s v="MacBook Pro 16 Gen8"/>
    <s v="SN913063"/>
    <x v="0"/>
    <s v="CT-Sams-2026-292"/>
    <d v="2025-11-04T00:00:00"/>
    <d v="2026-11-04T00:00:00"/>
    <n v="11186.53"/>
    <x v="2"/>
    <s v="Active"/>
  </r>
  <r>
    <s v="Netw-EME-0293"/>
    <s v="Network Gear"/>
    <s v="EliteBook 840 Gen8"/>
    <s v="SN363561"/>
    <x v="3"/>
    <s v="CT-Leno-2026-293"/>
    <d v="2023-11-17T00:00:00"/>
    <d v="2024-11-17T00:00:00"/>
    <n v="4714.1499999999996"/>
    <x v="3"/>
    <s v="Expired"/>
  </r>
  <r>
    <s v="Desk-EME-0294"/>
    <s v="Desktop"/>
    <s v="MacBook Pro 16 Gen10"/>
    <s v="SN1039915"/>
    <x v="2"/>
    <s v="CT-Dell-2026-294"/>
    <d v="2023-09-15T00:00:00"/>
    <d v="2026-09-15T00:00:00"/>
    <n v="1934.42"/>
    <x v="3"/>
    <s v="Active"/>
  </r>
  <r>
    <s v="Desk-APA-0295"/>
    <s v="Desktop"/>
    <s v="ProLiant DL380 Gen10"/>
    <s v="SN1084478"/>
    <x v="3"/>
    <s v="CT-Leno-2026-295"/>
    <d v="2026-01-16T00:00:00"/>
    <d v="2028-01-16T00:00:00"/>
    <n v="1233.3399999999999"/>
    <x v="1"/>
    <s v="Active"/>
  </r>
  <r>
    <s v="Desk-AME-0296"/>
    <s v="Desktop"/>
    <s v="Latitude 5430 Gen10"/>
    <s v="SN678327"/>
    <x v="3"/>
    <s v="CT-Leno-2026-296"/>
    <d v="2024-07-19T00:00:00"/>
    <d v="2027-07-19T00:00:00"/>
    <n v="1638.61"/>
    <x v="0"/>
    <s v="Active"/>
  </r>
  <r>
    <s v="Desk-APA-0297"/>
    <s v="Desktop"/>
    <s v="ThinkPad X1 Gen11"/>
    <s v="SN546628"/>
    <x v="3"/>
    <s v="CT-Leno-2026-297"/>
    <d v="2024-08-24T00:00:00"/>
    <d v="2025-08-24T00:00:00"/>
    <n v="1120.0999999999999"/>
    <x v="1"/>
    <s v="Expired"/>
  </r>
  <r>
    <s v="Prin-AME-0298"/>
    <s v="Printer"/>
    <s v="Catalyst 9300 Gen11"/>
    <s v="SN649107"/>
    <x v="6"/>
    <s v="CT-Fuji-2026-298"/>
    <d v="2023-05-14T00:00:00"/>
    <d v="2026-05-14T00:00:00"/>
    <n v="916.31"/>
    <x v="0"/>
    <s v="Active"/>
  </r>
  <r>
    <s v="Serv-AME-0299"/>
    <s v="Server"/>
    <s v="Latitude 5430 Gen10"/>
    <s v="SN223374"/>
    <x v="6"/>
    <s v="CT-Fuji-2026-299"/>
    <d v="2024-05-23T00:00:00"/>
    <d v="2025-05-23T00:00:00"/>
    <n v="7268.41"/>
    <x v="0"/>
    <s v="Expired"/>
  </r>
  <r>
    <s v="Desk-EME-0300"/>
    <s v="Desktop"/>
    <s v="MacBook Pro 16 Gen10"/>
    <s v="SN607597"/>
    <x v="0"/>
    <s v="CT-Sams-2026-300"/>
    <d v="2023-12-20T00:00:00"/>
    <d v="2025-12-20T00:00:00"/>
    <n v="1837.03"/>
    <x v="3"/>
    <s v="Expired"/>
  </r>
  <r>
    <s v="Prin-LAT-0301"/>
    <s v="Printer"/>
    <s v="EliteBook 840 Gen8"/>
    <s v="SN523935"/>
    <x v="1"/>
    <s v="CT-Appl-2026-301"/>
    <d v="2025-06-21T00:00:00"/>
    <d v="2026-06-21T00:00:00"/>
    <n v="683.85"/>
    <x v="2"/>
    <s v="Active"/>
  </r>
  <r>
    <s v="Prin-AME-0302"/>
    <s v="Printer"/>
    <s v="Catalyst 9300 Gen11"/>
    <s v="SN645723"/>
    <x v="4"/>
    <s v="CT-Cisc-2026-302"/>
    <d v="2024-11-27T00:00:00"/>
    <d v="2025-11-27T00:00:00"/>
    <n v="667.34"/>
    <x v="0"/>
    <s v="Expired"/>
  </r>
  <r>
    <s v="Prin-AME-0303"/>
    <s v="Printer"/>
    <s v="ProLiant DL380 Gen8"/>
    <s v="SN127853"/>
    <x v="3"/>
    <s v="CT-Leno-2026-303"/>
    <d v="2025-01-26T00:00:00"/>
    <d v="2028-01-26T00:00:00"/>
    <n v="1150.07"/>
    <x v="0"/>
    <s v="Active"/>
  </r>
  <r>
    <s v="Mobi-EME-0304"/>
    <s v="Mobile"/>
    <s v="Catalyst 9300 Gen11"/>
    <s v="SN366704"/>
    <x v="2"/>
    <s v="CT-Dell-2026-304"/>
    <d v="2024-08-27T00:00:00"/>
    <d v="2026-08-27T00:00:00"/>
    <n v="850.13"/>
    <x v="3"/>
    <s v="Active"/>
  </r>
  <r>
    <s v="Prin-EME-0305"/>
    <s v="Printer"/>
    <s v="ThinkPad X1 Gen8"/>
    <s v="SN1026498"/>
    <x v="2"/>
    <s v="CT-Dell-2026-305"/>
    <d v="2025-04-01T00:00:00"/>
    <d v="2027-04-01T00:00:00"/>
    <n v="605.63"/>
    <x v="3"/>
    <s v="Active"/>
  </r>
  <r>
    <s v="Desk-EME-0306"/>
    <s v="Desktop"/>
    <s v="Latitude 5430 Gen10"/>
    <s v="SN463662"/>
    <x v="6"/>
    <s v="CT-Fuji-2026-306"/>
    <d v="2025-04-19T00:00:00"/>
    <d v="2028-04-19T00:00:00"/>
    <n v="1680.74"/>
    <x v="3"/>
    <s v="Active"/>
  </r>
  <r>
    <s v="Lapt-LAT-0307"/>
    <s v="Laptop"/>
    <s v="Latitude 5430 Gen12"/>
    <s v="SN177858"/>
    <x v="4"/>
    <s v="CT-Cisc-2026-307"/>
    <d v="2025-04-26T00:00:00"/>
    <d v="2028-04-26T00:00:00"/>
    <n v="1027.69"/>
    <x v="2"/>
    <s v="Active"/>
  </r>
  <r>
    <s v="Prin-EME-0308"/>
    <s v="Printer"/>
    <s v="MacBook Pro 16 Gen10"/>
    <s v="SN1083394"/>
    <x v="5"/>
    <s v="CT-HP I-2026-308"/>
    <d v="2025-04-28T00:00:00"/>
    <d v="2027-04-28T00:00:00"/>
    <n v="1076.22"/>
    <x v="3"/>
    <s v="Active"/>
  </r>
  <r>
    <s v="Netw-AME-0309"/>
    <s v="Network Gear"/>
    <s v="ProLiant DL380 Gen10"/>
    <s v="SN930845"/>
    <x v="3"/>
    <s v="CT-Leno-2026-309"/>
    <d v="2024-03-05T00:00:00"/>
    <d v="2026-03-05T00:00:00"/>
    <n v="4473.5"/>
    <x v="0"/>
    <s v="Expired"/>
  </r>
  <r>
    <s v="Lapt-APA-0310"/>
    <s v="Laptop"/>
    <s v="Catalyst 9300 Gen10"/>
    <s v="SN506550"/>
    <x v="0"/>
    <s v="CT-Sams-2026-310"/>
    <d v="2024-03-26T00:00:00"/>
    <d v="2026-03-26T00:00:00"/>
    <n v="1261.19"/>
    <x v="1"/>
    <s v="Expired"/>
  </r>
  <r>
    <s v="Desk-LAT-0311"/>
    <s v="Desktop"/>
    <s v="Catalyst 9300 Gen10"/>
    <s v="SN625404"/>
    <x v="5"/>
    <s v="CT-HP I-2026-311"/>
    <d v="2024-03-16T00:00:00"/>
    <d v="2027-03-16T00:00:00"/>
    <n v="932.76"/>
    <x v="2"/>
    <s v="Active"/>
  </r>
  <r>
    <s v="Lapt-LAT-0312"/>
    <s v="Laptop"/>
    <s v="Latitude 5430 Gen12"/>
    <s v="SN925456"/>
    <x v="2"/>
    <s v="CT-Dell-2026-312"/>
    <d v="2025-01-17T00:00:00"/>
    <d v="2027-01-17T00:00:00"/>
    <n v="1467.97"/>
    <x v="2"/>
    <s v="Active"/>
  </r>
  <r>
    <s v="Netw-EME-0313"/>
    <s v="Network Gear"/>
    <s v="MacBook Pro 16 Gen10"/>
    <s v="SN1024633"/>
    <x v="4"/>
    <s v="CT-Cisc-2026-313"/>
    <d v="2024-08-27T00:00:00"/>
    <d v="2027-08-27T00:00:00"/>
    <n v="6942.69"/>
    <x v="3"/>
    <s v="Active"/>
  </r>
  <r>
    <s v="Serv-EME-0314"/>
    <s v="Server"/>
    <s v="iPhone 14 Pro Gen12"/>
    <s v="SN350864"/>
    <x v="0"/>
    <s v="CT-Sams-2026-314"/>
    <d v="2025-12-17T00:00:00"/>
    <d v="2028-12-17T00:00:00"/>
    <n v="4763.37"/>
    <x v="3"/>
    <s v="Active"/>
  </r>
  <r>
    <s v="Desk-APA-0315"/>
    <s v="Desktop"/>
    <s v="EliteBook 840 Gen10"/>
    <s v="SN485201"/>
    <x v="6"/>
    <s v="CT-Fuji-2026-315"/>
    <d v="2024-09-06T00:00:00"/>
    <d v="2026-09-06T00:00:00"/>
    <n v="1988.72"/>
    <x v="1"/>
    <s v="Active"/>
  </r>
  <r>
    <s v="Lapt-APA-0316"/>
    <s v="Laptop"/>
    <s v="Latitude 5430 Gen11"/>
    <s v="SN928837"/>
    <x v="6"/>
    <s v="CT-Fuji-2026-316"/>
    <d v="2024-09-16T00:00:00"/>
    <d v="2025-09-16T00:00:00"/>
    <n v="1421.42"/>
    <x v="1"/>
    <s v="Expired"/>
  </r>
  <r>
    <s v="Serv-APA-0317"/>
    <s v="Server"/>
    <s v="MacBook Pro 16 Gen11"/>
    <s v="SN1022279"/>
    <x v="2"/>
    <s v="CT-Dell-2026-317"/>
    <d v="2025-06-06T00:00:00"/>
    <d v="2028-06-06T00:00:00"/>
    <n v="8594.3700000000008"/>
    <x v="1"/>
    <s v="Active"/>
  </r>
  <r>
    <s v="Serv-AME-0318"/>
    <s v="Server"/>
    <s v="Latitude 5430 Gen10"/>
    <s v="SN199057"/>
    <x v="0"/>
    <s v="CT-Sams-2026-318"/>
    <d v="2025-05-16T00:00:00"/>
    <d v="2026-05-16T00:00:00"/>
    <n v="3707.89"/>
    <x v="0"/>
    <s v="Active"/>
  </r>
  <r>
    <s v="Lapt-AME-0319"/>
    <s v="Laptop"/>
    <s v="EliteBook 840 Gen8"/>
    <s v="SN675277"/>
    <x v="0"/>
    <s v="CT-Sams-2026-319"/>
    <d v="2025-10-28T00:00:00"/>
    <d v="2026-10-28T00:00:00"/>
    <n v="1676.42"/>
    <x v="0"/>
    <s v="Active"/>
  </r>
  <r>
    <s v="Prin-LAT-0320"/>
    <s v="Printer"/>
    <s v="ThinkPad X1 Gen12"/>
    <s v="SN1075776"/>
    <x v="5"/>
    <s v="CT-HP I-2026-320"/>
    <d v="2024-09-18T00:00:00"/>
    <d v="2025-09-18T00:00:00"/>
    <n v="516.75"/>
    <x v="2"/>
    <s v="Expired"/>
  </r>
  <r>
    <s v="Mobi-AME-0321"/>
    <s v="Mobile"/>
    <s v="Latitude 5430 Gen12"/>
    <s v="SN830584"/>
    <x v="2"/>
    <s v="CT-Dell-2026-321"/>
    <d v="2023-12-23T00:00:00"/>
    <d v="2026-12-23T00:00:00"/>
    <n v="686.04"/>
    <x v="0"/>
    <s v="Active"/>
  </r>
  <r>
    <s v="Desk-LAT-0322"/>
    <s v="Desktop"/>
    <s v="EliteBook 840 Gen10"/>
    <s v="SN582685"/>
    <x v="3"/>
    <s v="CT-Leno-2026-322"/>
    <d v="2023-04-23T00:00:00"/>
    <d v="2026-04-23T00:00:00"/>
    <n v="888.84"/>
    <x v="2"/>
    <s v="Active"/>
  </r>
  <r>
    <s v="Desk-EME-0323"/>
    <s v="Desktop"/>
    <s v="MacBook Pro 16 Gen12"/>
    <s v="SN407610"/>
    <x v="0"/>
    <s v="CT-Sams-2026-323"/>
    <d v="2023-05-09T00:00:00"/>
    <d v="2026-05-09T00:00:00"/>
    <n v="1152.8499999999999"/>
    <x v="3"/>
    <s v="Active"/>
  </r>
  <r>
    <s v="Prin-AME-0324"/>
    <s v="Printer"/>
    <s v="Latitude 5430 Gen10"/>
    <s v="SN622927"/>
    <x v="3"/>
    <s v="CT-Leno-2026-324"/>
    <d v="2024-12-08T00:00:00"/>
    <d v="2027-12-08T00:00:00"/>
    <n v="759.03"/>
    <x v="0"/>
    <s v="Active"/>
  </r>
  <r>
    <s v="Mobi-APA-0325"/>
    <s v="Mobile"/>
    <s v="MacBook Pro 16 Gen10"/>
    <s v="SN1064352"/>
    <x v="3"/>
    <s v="CT-Leno-2026-325"/>
    <d v="2024-02-18T00:00:00"/>
    <d v="2025-02-18T00:00:00"/>
    <n v="657.63"/>
    <x v="1"/>
    <s v="Expired"/>
  </r>
  <r>
    <s v="Serv-AME-0326"/>
    <s v="Server"/>
    <s v="Catalyst 9300 Gen12"/>
    <s v="SN315530"/>
    <x v="0"/>
    <s v="CT-Sams-2026-326"/>
    <d v="2026-02-26T00:00:00"/>
    <d v="2027-02-26T00:00:00"/>
    <n v="9639.6200000000008"/>
    <x v="0"/>
    <s v="Active"/>
  </r>
  <r>
    <s v="Mobi-APA-0327"/>
    <s v="Mobile"/>
    <s v="ProLiant DL380 Gen12"/>
    <s v="SN828743"/>
    <x v="0"/>
    <s v="CT-Sams-2026-327"/>
    <d v="2024-05-23T00:00:00"/>
    <d v="2026-05-23T00:00:00"/>
    <n v="847.47"/>
    <x v="1"/>
    <s v="Active"/>
  </r>
  <r>
    <s v="Mobi-EME-0328"/>
    <s v="Mobile"/>
    <s v="Latitude 5430 Gen11"/>
    <s v="SN679481"/>
    <x v="1"/>
    <s v="CT-Appl-2026-328"/>
    <d v="2023-12-03T00:00:00"/>
    <d v="2025-12-03T00:00:00"/>
    <n v="849.44"/>
    <x v="3"/>
    <s v="Expired"/>
  </r>
  <r>
    <s v="Netw-EME-0329"/>
    <s v="Network Gear"/>
    <s v="Catalyst 9300 Gen10"/>
    <s v="SN812026"/>
    <x v="3"/>
    <s v="CT-Leno-2026-329"/>
    <d v="2025-01-05T00:00:00"/>
    <d v="2027-01-05T00:00:00"/>
    <n v="3471.83"/>
    <x v="3"/>
    <s v="Active"/>
  </r>
  <r>
    <s v="Prin-APA-0330"/>
    <s v="Printer"/>
    <s v="ThinkPad X1 Gen10"/>
    <s v="SN696724"/>
    <x v="4"/>
    <s v="CT-Cisc-2026-330"/>
    <d v="2023-09-03T00:00:00"/>
    <d v="2024-09-03T00:00:00"/>
    <n v="773.72"/>
    <x v="1"/>
    <s v="Expired"/>
  </r>
  <r>
    <s v="Lapt-AME-0331"/>
    <s v="Laptop"/>
    <s v="EliteBook 840 Gen9"/>
    <s v="SN910418"/>
    <x v="5"/>
    <s v="CT-HP I-2026-331"/>
    <d v="2025-07-04T00:00:00"/>
    <d v="2026-07-04T00:00:00"/>
    <n v="1443.31"/>
    <x v="0"/>
    <s v="Active"/>
  </r>
  <r>
    <s v="Mobi-LAT-0332"/>
    <s v="Mobile"/>
    <s v="Latitude 5430 Gen10"/>
    <s v="SN1035294"/>
    <x v="2"/>
    <s v="CT-Dell-2026-332"/>
    <d v="2023-05-03T00:00:00"/>
    <d v="2025-05-03T00:00:00"/>
    <n v="994.88"/>
    <x v="2"/>
    <s v="Expired"/>
  </r>
  <r>
    <s v="Lapt-AME-0333"/>
    <s v="Laptop"/>
    <s v="MacBook Pro 16 Gen11"/>
    <s v="SN651302"/>
    <x v="3"/>
    <s v="CT-Leno-2026-333"/>
    <d v="2024-02-17T00:00:00"/>
    <d v="2026-02-17T00:00:00"/>
    <n v="1193.6199999999999"/>
    <x v="0"/>
    <s v="Expired"/>
  </r>
  <r>
    <s v="Serv-EME-0334"/>
    <s v="Server"/>
    <s v="ProLiant DL380 Gen9"/>
    <s v="SN963878"/>
    <x v="5"/>
    <s v="CT-HP I-2026-334"/>
    <d v="2026-01-19T00:00:00"/>
    <d v="2029-01-19T00:00:00"/>
    <n v="5061.2299999999996"/>
    <x v="3"/>
    <s v="Active"/>
  </r>
  <r>
    <s v="Serv-APA-0335"/>
    <s v="Server"/>
    <s v="MacBook Pro 16 Gen8"/>
    <s v="SN590195"/>
    <x v="3"/>
    <s v="CT-Leno-2026-335"/>
    <d v="2025-12-11T00:00:00"/>
    <d v="2026-12-11T00:00:00"/>
    <n v="3806.45"/>
    <x v="1"/>
    <s v="Active"/>
  </r>
  <r>
    <s v="Lapt-APA-0336"/>
    <s v="Laptop"/>
    <s v="ThinkPad X1 Gen11"/>
    <s v="SN239013"/>
    <x v="5"/>
    <s v="CT-HP I-2026-336"/>
    <d v="2025-09-05T00:00:00"/>
    <d v="2027-09-05T00:00:00"/>
    <n v="1160.1199999999999"/>
    <x v="1"/>
    <s v="Active"/>
  </r>
  <r>
    <s v="Serv-LAT-0337"/>
    <s v="Server"/>
    <s v="EliteBook 840 Gen8"/>
    <s v="SN914760"/>
    <x v="2"/>
    <s v="CT-Dell-2026-337"/>
    <d v="2025-10-13T00:00:00"/>
    <d v="2027-10-13T00:00:00"/>
    <n v="6738.58"/>
    <x v="2"/>
    <s v="Active"/>
  </r>
  <r>
    <s v="Netw-EME-0338"/>
    <s v="Network Gear"/>
    <s v="Latitude 5430 Gen11"/>
    <s v="SN996203"/>
    <x v="5"/>
    <s v="CT-HP I-2026-338"/>
    <d v="2025-04-12T00:00:00"/>
    <d v="2026-04-12T00:00:00"/>
    <n v="5251.29"/>
    <x v="3"/>
    <s v="Expired"/>
  </r>
  <r>
    <s v="Netw-LAT-0339"/>
    <s v="Network Gear"/>
    <s v="Latitude 5430 Gen11"/>
    <s v="SN162082"/>
    <x v="4"/>
    <s v="CT-Cisc-2026-339"/>
    <d v="2025-03-03T00:00:00"/>
    <d v="2028-03-03T00:00:00"/>
    <n v="5342.1"/>
    <x v="2"/>
    <s v="Active"/>
  </r>
  <r>
    <s v="Netw-AME-0340"/>
    <s v="Network Gear"/>
    <s v="ProLiant DL380 Gen12"/>
    <s v="SN926193"/>
    <x v="6"/>
    <s v="CT-Fuji-2026-340"/>
    <d v="2025-03-28T00:00:00"/>
    <d v="2028-03-28T00:00:00"/>
    <n v="2595.11"/>
    <x v="0"/>
    <s v="Active"/>
  </r>
  <r>
    <s v="Serv-LAT-0341"/>
    <s v="Server"/>
    <s v="MacBook Pro 16 Gen8"/>
    <s v="SN205490"/>
    <x v="6"/>
    <s v="CT-Fuji-2026-341"/>
    <d v="2024-09-20T00:00:00"/>
    <d v="2025-09-20T00:00:00"/>
    <n v="6931.19"/>
    <x v="2"/>
    <s v="Expired"/>
  </r>
  <r>
    <s v="Netw-AME-0342"/>
    <s v="Network Gear"/>
    <s v="ProLiant DL380 Gen12"/>
    <s v="SN267637"/>
    <x v="6"/>
    <s v="CT-Fuji-2026-342"/>
    <d v="2024-09-05T00:00:00"/>
    <d v="2027-09-05T00:00:00"/>
    <n v="4368.1899999999996"/>
    <x v="0"/>
    <s v="Active"/>
  </r>
  <r>
    <s v="Netw-APA-0343"/>
    <s v="Network Gear"/>
    <s v="iPhone 14 Pro Gen8"/>
    <s v="SN917153"/>
    <x v="1"/>
    <s v="CT-Appl-2026-343"/>
    <d v="2025-08-09T00:00:00"/>
    <d v="2026-08-09T00:00:00"/>
    <n v="3274.34"/>
    <x v="1"/>
    <s v="Active"/>
  </r>
  <r>
    <s v="Mobi-EME-0344"/>
    <s v="Mobile"/>
    <s v="Latitude 5430 Gen8"/>
    <s v="SN397435"/>
    <x v="4"/>
    <s v="CT-Cisc-2026-344"/>
    <d v="2025-04-12T00:00:00"/>
    <d v="2028-04-12T00:00:00"/>
    <n v="1161.75"/>
    <x v="3"/>
    <s v="Active"/>
  </r>
  <r>
    <s v="Desk-APA-0345"/>
    <s v="Desktop"/>
    <s v="Catalyst 9300 Gen10"/>
    <s v="SN162712"/>
    <x v="5"/>
    <s v="CT-HP I-2026-345"/>
    <d v="2025-01-01T00:00:00"/>
    <d v="2027-01-01T00:00:00"/>
    <n v="1194.53"/>
    <x v="1"/>
    <s v="Active"/>
  </r>
  <r>
    <s v="Serv-LAT-0346"/>
    <s v="Server"/>
    <s v="iPhone 14 Pro Gen10"/>
    <s v="SN1049969"/>
    <x v="0"/>
    <s v="CT-Sams-2026-346"/>
    <d v="2025-10-03T00:00:00"/>
    <d v="2026-10-03T00:00:00"/>
    <n v="9615.7999999999993"/>
    <x v="2"/>
    <s v="Active"/>
  </r>
  <r>
    <s v="Mobi-LAT-0347"/>
    <s v="Mobile"/>
    <s v="Catalyst 9300 Gen12"/>
    <s v="SN1034183"/>
    <x v="4"/>
    <s v="CT-Cisc-2026-347"/>
    <d v="2025-09-05T00:00:00"/>
    <d v="2027-09-05T00:00:00"/>
    <n v="994.98"/>
    <x v="2"/>
    <s v="Active"/>
  </r>
  <r>
    <s v="Prin-APA-0348"/>
    <s v="Printer"/>
    <s v="Latitude 5430 Gen12"/>
    <s v="SN446501"/>
    <x v="5"/>
    <s v="CT-HP I-2026-348"/>
    <d v="2024-07-06T00:00:00"/>
    <d v="2025-07-06T00:00:00"/>
    <n v="606.16999999999996"/>
    <x v="1"/>
    <s v="Expired"/>
  </r>
  <r>
    <s v="Desk-APA-0349"/>
    <s v="Desktop"/>
    <s v="iPhone 14 Pro Gen11"/>
    <s v="SN477406"/>
    <x v="2"/>
    <s v="CT-Dell-2026-349"/>
    <d v="2025-02-28T00:00:00"/>
    <d v="2026-02-28T00:00:00"/>
    <n v="1562.61"/>
    <x v="1"/>
    <s v="Expired"/>
  </r>
  <r>
    <s v="Netw-APA-0350"/>
    <s v="Network Gear"/>
    <s v="ProLiant DL380 Gen11"/>
    <s v="SN865967"/>
    <x v="3"/>
    <s v="CT-Leno-2026-350"/>
    <d v="2023-04-14T00:00:00"/>
    <d v="2024-04-14T00:00:00"/>
    <n v="6227.92"/>
    <x v="1"/>
    <s v="Expired"/>
  </r>
  <r>
    <s v="Mobi-APA-0351"/>
    <s v="Mobile"/>
    <s v="iPhone 14 Pro Gen9"/>
    <s v="SN720262"/>
    <x v="3"/>
    <s v="CT-Leno-2026-351"/>
    <d v="2024-01-26T00:00:00"/>
    <d v="2025-01-26T00:00:00"/>
    <n v="1184.8499999999999"/>
    <x v="1"/>
    <s v="Expired"/>
  </r>
  <r>
    <s v="Prin-LAT-0352"/>
    <s v="Printer"/>
    <s v="ProLiant DL380 Gen11"/>
    <s v="SN438442"/>
    <x v="0"/>
    <s v="CT-Sams-2026-352"/>
    <d v="2023-10-12T00:00:00"/>
    <d v="2026-10-12T00:00:00"/>
    <n v="531.62"/>
    <x v="2"/>
    <s v="Active"/>
  </r>
  <r>
    <s v="Lapt-AME-0353"/>
    <s v="Laptop"/>
    <s v="EliteBook 840 Gen8"/>
    <s v="SN157933"/>
    <x v="5"/>
    <s v="CT-HP I-2026-353"/>
    <d v="2023-08-03T00:00:00"/>
    <d v="2024-08-03T00:00:00"/>
    <n v="1173.01"/>
    <x v="0"/>
    <s v="Expired"/>
  </r>
  <r>
    <s v="Lapt-EME-0354"/>
    <s v="Laptop"/>
    <s v="Catalyst 9300 Gen10"/>
    <s v="SN192497"/>
    <x v="2"/>
    <s v="CT-Dell-2026-354"/>
    <d v="2023-08-12T00:00:00"/>
    <d v="2026-08-12T00:00:00"/>
    <n v="1134.8399999999999"/>
    <x v="3"/>
    <s v="Active"/>
  </r>
  <r>
    <s v="Netw-AME-0355"/>
    <s v="Network Gear"/>
    <s v="MacBook Pro 16 Gen12"/>
    <s v="SN601429"/>
    <x v="3"/>
    <s v="CT-Leno-2026-355"/>
    <d v="2023-03-20T00:00:00"/>
    <d v="2026-03-20T00:00:00"/>
    <n v="6943.31"/>
    <x v="0"/>
    <s v="Expired"/>
  </r>
  <r>
    <s v="Desk-AME-0356"/>
    <s v="Desktop"/>
    <s v="Catalyst 9300 Gen8"/>
    <s v="SN637723"/>
    <x v="3"/>
    <s v="CT-Leno-2026-356"/>
    <d v="2026-01-09T00:00:00"/>
    <d v="2029-01-09T00:00:00"/>
    <n v="1344.34"/>
    <x v="0"/>
    <s v="Active"/>
  </r>
  <r>
    <s v="Netw-AME-0357"/>
    <s v="Network Gear"/>
    <s v="MacBook Pro 16 Gen11"/>
    <s v="SN1045662"/>
    <x v="5"/>
    <s v="CT-HP I-2026-357"/>
    <d v="2026-02-28T00:00:00"/>
    <d v="2028-02-28T00:00:00"/>
    <n v="6126.44"/>
    <x v="0"/>
    <s v="Active"/>
  </r>
  <r>
    <s v="Netw-AME-0358"/>
    <s v="Network Gear"/>
    <s v="iPhone 14 Pro Gen11"/>
    <s v="SN413653"/>
    <x v="4"/>
    <s v="CT-Cisc-2026-358"/>
    <d v="2023-04-05T00:00:00"/>
    <d v="2025-04-05T00:00:00"/>
    <n v="2658.95"/>
    <x v="0"/>
    <s v="Expired"/>
  </r>
  <r>
    <s v="Netw-AME-0359"/>
    <s v="Network Gear"/>
    <s v="ProLiant DL380 Gen12"/>
    <s v="SN363291"/>
    <x v="6"/>
    <s v="CT-Fuji-2026-359"/>
    <d v="2026-02-07T00:00:00"/>
    <d v="2027-02-07T00:00:00"/>
    <n v="6380.75"/>
    <x v="0"/>
    <s v="Active"/>
  </r>
  <r>
    <s v="Prin-LAT-0360"/>
    <s v="Printer"/>
    <s v="MacBook Pro 16 Gen8"/>
    <s v="SN786348"/>
    <x v="2"/>
    <s v="CT-Dell-2026-360"/>
    <d v="2023-06-30T00:00:00"/>
    <d v="2026-06-30T00:00:00"/>
    <n v="422.7"/>
    <x v="2"/>
    <s v="Active"/>
  </r>
  <r>
    <s v="Netw-LAT-0361"/>
    <s v="Network Gear"/>
    <s v="ProLiant DL380 Gen12"/>
    <s v="SN580598"/>
    <x v="1"/>
    <s v="CT-Appl-2026-361"/>
    <d v="2026-02-27T00:00:00"/>
    <d v="2029-02-27T00:00:00"/>
    <n v="4431.43"/>
    <x v="2"/>
    <s v="Active"/>
  </r>
  <r>
    <s v="Lapt-LAT-0362"/>
    <s v="Laptop"/>
    <s v="Latitude 5430 Gen12"/>
    <s v="SN1023882"/>
    <x v="0"/>
    <s v="CT-Sams-2026-362"/>
    <d v="2025-09-28T00:00:00"/>
    <d v="2026-09-28T00:00:00"/>
    <n v="1389.57"/>
    <x v="2"/>
    <s v="Active"/>
  </r>
  <r>
    <s v="Serv-APA-0363"/>
    <s v="Server"/>
    <s v="iPhone 14 Pro Gen8"/>
    <s v="SN641652"/>
    <x v="1"/>
    <s v="CT-Appl-2026-363"/>
    <d v="2023-04-09T00:00:00"/>
    <d v="2024-04-09T00:00:00"/>
    <n v="4764.17"/>
    <x v="1"/>
    <s v="Expired"/>
  </r>
  <r>
    <s v="Desk-APA-0364"/>
    <s v="Desktop"/>
    <s v="iPhone 14 Pro Gen10"/>
    <s v="SN931987"/>
    <x v="0"/>
    <s v="CT-Sams-2026-364"/>
    <d v="2026-03-03T00:00:00"/>
    <d v="2027-03-03T00:00:00"/>
    <n v="1447.09"/>
    <x v="1"/>
    <s v="Active"/>
  </r>
  <r>
    <s v="Desk-APA-0365"/>
    <s v="Desktop"/>
    <s v="ThinkPad X1 Gen9"/>
    <s v="SN816998"/>
    <x v="0"/>
    <s v="CT-Sams-2026-365"/>
    <d v="2025-05-18T00:00:00"/>
    <d v="2027-05-18T00:00:00"/>
    <n v="819.57"/>
    <x v="1"/>
    <s v="Active"/>
  </r>
  <r>
    <s v="Netw-EME-0366"/>
    <s v="Network Gear"/>
    <s v="Latitude 5430 Gen10"/>
    <s v="SN1081105"/>
    <x v="0"/>
    <s v="CT-Sams-2026-366"/>
    <d v="2024-08-22T00:00:00"/>
    <d v="2027-08-22T00:00:00"/>
    <n v="3155.91"/>
    <x v="3"/>
    <s v="Active"/>
  </r>
  <r>
    <s v="Desk-AME-0367"/>
    <s v="Desktop"/>
    <s v="Latitude 5430 Gen12"/>
    <s v="SN163135"/>
    <x v="1"/>
    <s v="CT-Appl-2026-367"/>
    <d v="2024-01-25T00:00:00"/>
    <d v="2026-01-25T00:00:00"/>
    <n v="1883.53"/>
    <x v="0"/>
    <s v="Expired"/>
  </r>
  <r>
    <s v="Prin-EME-0368"/>
    <s v="Printer"/>
    <s v="iPhone 14 Pro Gen9"/>
    <s v="SN506096"/>
    <x v="1"/>
    <s v="CT-Appl-2026-368"/>
    <d v="2023-07-05T00:00:00"/>
    <d v="2026-07-05T00:00:00"/>
    <n v="619.5"/>
    <x v="3"/>
    <s v="Active"/>
  </r>
  <r>
    <s v="Desk-LAT-0369"/>
    <s v="Desktop"/>
    <s v="EliteBook 840 Gen8"/>
    <s v="SN689008"/>
    <x v="0"/>
    <s v="CT-Sams-2026-369"/>
    <d v="2024-07-17T00:00:00"/>
    <d v="2025-07-17T00:00:00"/>
    <n v="1257.18"/>
    <x v="2"/>
    <s v="Expired"/>
  </r>
  <r>
    <s v="Serv-EME-0370"/>
    <s v="Server"/>
    <s v="MacBook Pro 16 Gen11"/>
    <s v="SN909848"/>
    <x v="4"/>
    <s v="CT-Cisc-2026-370"/>
    <d v="2024-12-10T00:00:00"/>
    <d v="2025-12-10T00:00:00"/>
    <n v="3714.17"/>
    <x v="3"/>
    <s v="Expired"/>
  </r>
  <r>
    <s v="Lapt-APA-0371"/>
    <s v="Laptop"/>
    <s v="Catalyst 9300 Gen8"/>
    <s v="SN135809"/>
    <x v="1"/>
    <s v="CT-Appl-2026-371"/>
    <d v="2024-03-05T00:00:00"/>
    <d v="2025-03-05T00:00:00"/>
    <n v="1016.65"/>
    <x v="1"/>
    <s v="Expired"/>
  </r>
  <r>
    <s v="Desk-EME-0372"/>
    <s v="Desktop"/>
    <s v="Latitude 5430 Gen9"/>
    <s v="SN652048"/>
    <x v="4"/>
    <s v="CT-Cisc-2026-372"/>
    <d v="2023-05-09T00:00:00"/>
    <d v="2025-05-09T00:00:00"/>
    <n v="1160.28"/>
    <x v="3"/>
    <s v="Expired"/>
  </r>
  <r>
    <s v="Netw-AME-0373"/>
    <s v="Network Gear"/>
    <s v="EliteBook 840 Gen10"/>
    <s v="SN526277"/>
    <x v="1"/>
    <s v="CT-Appl-2026-373"/>
    <d v="2024-12-05T00:00:00"/>
    <d v="2027-12-05T00:00:00"/>
    <n v="6336.24"/>
    <x v="0"/>
    <s v="Active"/>
  </r>
  <r>
    <s v="Desk-APA-0374"/>
    <s v="Desktop"/>
    <s v="EliteBook 840 Gen8"/>
    <s v="SN1054359"/>
    <x v="1"/>
    <s v="CT-Appl-2026-374"/>
    <d v="2024-08-09T00:00:00"/>
    <d v="2026-08-09T00:00:00"/>
    <n v="1544.97"/>
    <x v="1"/>
    <s v="Active"/>
  </r>
  <r>
    <s v="Desk-AME-0375"/>
    <s v="Desktop"/>
    <s v="ThinkPad X1 Gen12"/>
    <s v="SN889812"/>
    <x v="4"/>
    <s v="CT-Cisc-2026-375"/>
    <d v="2023-05-22T00:00:00"/>
    <d v="2026-05-22T00:00:00"/>
    <n v="1717.5"/>
    <x v="0"/>
    <s v="Active"/>
  </r>
  <r>
    <s v="Desk-APA-0376"/>
    <s v="Desktop"/>
    <s v="ThinkPad X1 Gen12"/>
    <s v="SN803252"/>
    <x v="5"/>
    <s v="CT-HP I-2026-376"/>
    <d v="2024-03-03T00:00:00"/>
    <d v="2027-03-03T00:00:00"/>
    <n v="1822.69"/>
    <x v="1"/>
    <s v="Active"/>
  </r>
  <r>
    <s v="Mobi-AME-0377"/>
    <s v="Mobile"/>
    <s v="ProLiant DL380 Gen9"/>
    <s v="SN819589"/>
    <x v="3"/>
    <s v="CT-Leno-2026-377"/>
    <d v="2023-04-09T00:00:00"/>
    <d v="2026-04-09T00:00:00"/>
    <n v="846.86"/>
    <x v="0"/>
    <s v="Expired"/>
  </r>
  <r>
    <s v="Desk-APA-0378"/>
    <s v="Desktop"/>
    <s v="ProLiant DL380 Gen8"/>
    <s v="SN481742"/>
    <x v="6"/>
    <s v="CT-Fuji-2026-378"/>
    <d v="2025-05-24T00:00:00"/>
    <d v="2027-05-24T00:00:00"/>
    <n v="1206.8599999999999"/>
    <x v="1"/>
    <s v="Active"/>
  </r>
  <r>
    <s v="Prin-EME-0379"/>
    <s v="Printer"/>
    <s v="EliteBook 840 Gen8"/>
    <s v="SN767980"/>
    <x v="3"/>
    <s v="CT-Leno-2026-379"/>
    <d v="2024-08-04T00:00:00"/>
    <d v="2027-08-04T00:00:00"/>
    <n v="468.82"/>
    <x v="3"/>
    <s v="Active"/>
  </r>
  <r>
    <s v="Prin-LAT-0380"/>
    <s v="Printer"/>
    <s v="ThinkPad X1 Gen11"/>
    <s v="SN511284"/>
    <x v="6"/>
    <s v="CT-Fuji-2026-380"/>
    <d v="2025-06-27T00:00:00"/>
    <d v="2027-06-27T00:00:00"/>
    <n v="1180.3"/>
    <x v="2"/>
    <s v="Active"/>
  </r>
  <r>
    <s v="Desk-LAT-0381"/>
    <s v="Desktop"/>
    <s v="MacBook Pro 16 Gen8"/>
    <s v="SN236487"/>
    <x v="4"/>
    <s v="CT-Cisc-2026-381"/>
    <d v="2023-11-18T00:00:00"/>
    <d v="2026-11-18T00:00:00"/>
    <n v="1012.92"/>
    <x v="2"/>
    <s v="Active"/>
  </r>
  <r>
    <s v="Desk-LAT-0382"/>
    <s v="Desktop"/>
    <s v="iPhone 14 Pro Gen12"/>
    <s v="SN1035074"/>
    <x v="0"/>
    <s v="CT-Sams-2026-382"/>
    <d v="2024-12-17T00:00:00"/>
    <d v="2027-12-17T00:00:00"/>
    <n v="1827.03"/>
    <x v="2"/>
    <s v="Active"/>
  </r>
  <r>
    <s v="Prin-AME-0383"/>
    <s v="Printer"/>
    <s v="iPhone 14 Pro Gen10"/>
    <s v="SN266468"/>
    <x v="2"/>
    <s v="CT-Dell-2026-383"/>
    <d v="2026-01-26T00:00:00"/>
    <d v="2028-01-26T00:00:00"/>
    <n v="748.94"/>
    <x v="0"/>
    <s v="Active"/>
  </r>
  <r>
    <s v="Mobi-AME-0384"/>
    <s v="Mobile"/>
    <s v="ProLiant DL380 Gen12"/>
    <s v="SN524007"/>
    <x v="1"/>
    <s v="CT-Appl-2026-384"/>
    <d v="2025-08-06T00:00:00"/>
    <d v="2028-08-06T00:00:00"/>
    <n v="848.88"/>
    <x v="0"/>
    <s v="Active"/>
  </r>
  <r>
    <s v="Serv-LAT-0385"/>
    <s v="Server"/>
    <s v="ProLiant DL380 Gen9"/>
    <s v="SN886892"/>
    <x v="0"/>
    <s v="CT-Sams-2026-385"/>
    <d v="2026-01-23T00:00:00"/>
    <d v="2028-01-23T00:00:00"/>
    <n v="6578.24"/>
    <x v="2"/>
    <s v="Active"/>
  </r>
  <r>
    <s v="Prin-APA-0386"/>
    <s v="Printer"/>
    <s v="Latitude 5430 Gen9"/>
    <s v="SN136538"/>
    <x v="2"/>
    <s v="CT-Dell-2026-386"/>
    <d v="2026-03-03T00:00:00"/>
    <d v="2028-03-03T00:00:00"/>
    <n v="567.9"/>
    <x v="1"/>
    <s v="Active"/>
  </r>
  <r>
    <s v="Desk-AME-0387"/>
    <s v="Desktop"/>
    <s v="Latitude 5430 Gen10"/>
    <s v="SN425375"/>
    <x v="4"/>
    <s v="CT-Cisc-2026-387"/>
    <d v="2024-12-30T00:00:00"/>
    <d v="2025-12-30T00:00:00"/>
    <n v="1303.82"/>
    <x v="0"/>
    <s v="Expired"/>
  </r>
  <r>
    <s v="Desk-LAT-0388"/>
    <s v="Desktop"/>
    <s v="ThinkPad X1 Gen12"/>
    <s v="SN113700"/>
    <x v="3"/>
    <s v="CT-Leno-2026-388"/>
    <d v="2024-07-07T00:00:00"/>
    <d v="2026-07-07T00:00:00"/>
    <n v="1707.84"/>
    <x v="2"/>
    <s v="Active"/>
  </r>
  <r>
    <s v="Lapt-APA-0389"/>
    <s v="Laptop"/>
    <s v="ThinkPad X1 Gen10"/>
    <s v="SN838740"/>
    <x v="2"/>
    <s v="CT-Dell-2026-389"/>
    <d v="2025-09-29T00:00:00"/>
    <d v="2027-09-29T00:00:00"/>
    <n v="1264.17"/>
    <x v="1"/>
    <s v="Active"/>
  </r>
  <r>
    <s v="Lapt-AME-0390"/>
    <s v="Laptop"/>
    <s v="Catalyst 9300 Gen10"/>
    <s v="SN740536"/>
    <x v="0"/>
    <s v="CT-Sams-2026-390"/>
    <d v="2024-09-02T00:00:00"/>
    <d v="2026-09-02T00:00:00"/>
    <n v="883.53"/>
    <x v="0"/>
    <s v="Active"/>
  </r>
  <r>
    <s v="Netw-AME-0391"/>
    <s v="Network Gear"/>
    <s v="MacBook Pro 16 Gen11"/>
    <s v="SN469372"/>
    <x v="5"/>
    <s v="CT-HP I-2026-391"/>
    <d v="2023-03-18T00:00:00"/>
    <d v="2025-03-18T00:00:00"/>
    <n v="5292.24"/>
    <x v="0"/>
    <s v="Expired"/>
  </r>
  <r>
    <s v="Serv-LAT-0392"/>
    <s v="Server"/>
    <s v="Catalyst 9300 Gen8"/>
    <s v="SN655178"/>
    <x v="2"/>
    <s v="CT-Dell-2026-392"/>
    <d v="2026-03-04T00:00:00"/>
    <d v="2027-03-04T00:00:00"/>
    <n v="10044.129999999999"/>
    <x v="2"/>
    <s v="Active"/>
  </r>
  <r>
    <s v="Netw-APA-0393"/>
    <s v="Network Gear"/>
    <s v="ThinkPad X1 Gen11"/>
    <s v="SN883593"/>
    <x v="6"/>
    <s v="CT-Fuji-2026-393"/>
    <d v="2025-05-13T00:00:00"/>
    <d v="2027-05-13T00:00:00"/>
    <n v="6993.81"/>
    <x v="1"/>
    <s v="Active"/>
  </r>
  <r>
    <s v="Mobi-APA-0394"/>
    <s v="Mobile"/>
    <s v="Catalyst 9300 Gen10"/>
    <s v="SN536831"/>
    <x v="6"/>
    <s v="CT-Fuji-2026-394"/>
    <d v="2025-09-25T00:00:00"/>
    <d v="2027-09-25T00:00:00"/>
    <n v="749.46"/>
    <x v="1"/>
    <s v="Active"/>
  </r>
  <r>
    <s v="Netw-AME-0395"/>
    <s v="Network Gear"/>
    <s v="iPhone 14 Pro Gen12"/>
    <s v="SN698325"/>
    <x v="4"/>
    <s v="CT-Cisc-2026-395"/>
    <d v="2023-03-19T00:00:00"/>
    <d v="2025-03-19T00:00:00"/>
    <n v="5715.42"/>
    <x v="0"/>
    <s v="Expired"/>
  </r>
  <r>
    <s v="Lapt-APA-0396"/>
    <s v="Laptop"/>
    <s v="ThinkPad X1 Gen11"/>
    <s v="SN453924"/>
    <x v="2"/>
    <s v="CT-Dell-2026-396"/>
    <d v="2024-11-19T00:00:00"/>
    <d v="2027-11-19T00:00:00"/>
    <n v="1146.51"/>
    <x v="1"/>
    <s v="Active"/>
  </r>
  <r>
    <s v="Desk-EME-0397"/>
    <s v="Desktop"/>
    <s v="EliteBook 840 Gen9"/>
    <s v="SN552276"/>
    <x v="6"/>
    <s v="CT-Fuji-2026-397"/>
    <d v="2025-01-02T00:00:00"/>
    <d v="2026-01-02T00:00:00"/>
    <n v="891.12"/>
    <x v="3"/>
    <s v="Expired"/>
  </r>
  <r>
    <s v="Lapt-EME-0398"/>
    <s v="Laptop"/>
    <s v="Catalyst 9300 Gen10"/>
    <s v="SN403656"/>
    <x v="0"/>
    <s v="CT-Sams-2026-398"/>
    <d v="2024-04-30T00:00:00"/>
    <d v="2025-04-30T00:00:00"/>
    <n v="1368.21"/>
    <x v="3"/>
    <s v="Expired"/>
  </r>
  <r>
    <s v="Prin-AME-0399"/>
    <s v="Printer"/>
    <s v="MacBook Pro 16 Gen11"/>
    <s v="SN627919"/>
    <x v="3"/>
    <s v="CT-Leno-2026-399"/>
    <d v="2023-06-19T00:00:00"/>
    <d v="2026-06-19T00:00:00"/>
    <n v="750.19"/>
    <x v="0"/>
    <s v="Active"/>
  </r>
  <r>
    <s v="Lapt-LAT-0400"/>
    <s v="Laptop"/>
    <s v="EliteBook 840 Gen10"/>
    <s v="SN824206"/>
    <x v="3"/>
    <s v="CT-Leno-2026-400"/>
    <d v="2024-01-17T00:00:00"/>
    <d v="2025-01-17T00:00:00"/>
    <n v="1545.16"/>
    <x v="2"/>
    <s v="Expired"/>
  </r>
  <r>
    <s v="Serv-APA-0401"/>
    <s v="Server"/>
    <s v="MacBook Pro 16 Gen8"/>
    <s v="SN380493"/>
    <x v="0"/>
    <s v="CT-Sams-2026-401"/>
    <d v="2024-10-22T00:00:00"/>
    <d v="2026-10-22T00:00:00"/>
    <n v="6234.1"/>
    <x v="1"/>
    <s v="Active"/>
  </r>
  <r>
    <s v="Serv-LAT-0402"/>
    <s v="Server"/>
    <s v="MacBook Pro 16 Gen11"/>
    <s v="SN110847"/>
    <x v="0"/>
    <s v="CT-Sams-2026-402"/>
    <d v="2023-06-11T00:00:00"/>
    <d v="2025-06-11T00:00:00"/>
    <n v="6657.91"/>
    <x v="2"/>
    <s v="Expired"/>
  </r>
  <r>
    <s v="Mobi-APA-0403"/>
    <s v="Mobile"/>
    <s v="Latitude 5430 Gen11"/>
    <s v="SN380286"/>
    <x v="1"/>
    <s v="CT-Appl-2026-403"/>
    <d v="2024-11-14T00:00:00"/>
    <d v="2025-11-14T00:00:00"/>
    <n v="679.42"/>
    <x v="1"/>
    <s v="Expired"/>
  </r>
  <r>
    <s v="Serv-EME-0404"/>
    <s v="Server"/>
    <s v="ProLiant DL380 Gen8"/>
    <s v="SN417210"/>
    <x v="2"/>
    <s v="CT-Dell-2026-404"/>
    <d v="2024-01-26T00:00:00"/>
    <d v="2027-01-26T00:00:00"/>
    <n v="4861.38"/>
    <x v="3"/>
    <s v="Active"/>
  </r>
  <r>
    <s v="Mobi-AME-0405"/>
    <s v="Mobile"/>
    <s v="iPhone 14 Pro Gen11"/>
    <s v="SN424457"/>
    <x v="5"/>
    <s v="CT-HP I-2026-405"/>
    <d v="2023-08-03T00:00:00"/>
    <d v="2026-08-03T00:00:00"/>
    <n v="879.6"/>
    <x v="0"/>
    <s v="Active"/>
  </r>
  <r>
    <s v="Prin-AME-0406"/>
    <s v="Printer"/>
    <s v="Catalyst 9300 Gen10"/>
    <s v="SN272967"/>
    <x v="6"/>
    <s v="CT-Fuji-2026-406"/>
    <d v="2024-09-01T00:00:00"/>
    <d v="2026-09-01T00:00:00"/>
    <n v="1085.68"/>
    <x v="0"/>
    <s v="Active"/>
  </r>
  <r>
    <s v="Prin-AME-0407"/>
    <s v="Printer"/>
    <s v="iPhone 14 Pro Gen9"/>
    <s v="SN324628"/>
    <x v="3"/>
    <s v="CT-Leno-2026-407"/>
    <d v="2024-07-29T00:00:00"/>
    <d v="2026-07-29T00:00:00"/>
    <n v="836.82"/>
    <x v="0"/>
    <s v="Active"/>
  </r>
  <r>
    <s v="Prin-LAT-0408"/>
    <s v="Printer"/>
    <s v="EliteBook 840 Gen11"/>
    <s v="SN799157"/>
    <x v="1"/>
    <s v="CT-Appl-2026-408"/>
    <d v="2024-08-14T00:00:00"/>
    <d v="2027-08-14T00:00:00"/>
    <n v="868.68"/>
    <x v="2"/>
    <s v="Active"/>
  </r>
  <r>
    <s v="Desk-EME-0409"/>
    <s v="Desktop"/>
    <s v="ThinkPad X1 Gen11"/>
    <s v="SN1026515"/>
    <x v="6"/>
    <s v="CT-Fuji-2026-409"/>
    <d v="2025-09-25T00:00:00"/>
    <d v="2026-09-25T00:00:00"/>
    <n v="1271.3399999999999"/>
    <x v="3"/>
    <s v="Active"/>
  </r>
  <r>
    <s v="Lapt-LAT-0410"/>
    <s v="Laptop"/>
    <s v="iPhone 14 Pro Gen9"/>
    <s v="SN552430"/>
    <x v="1"/>
    <s v="CT-Appl-2026-410"/>
    <d v="2024-01-13T00:00:00"/>
    <d v="2025-01-13T00:00:00"/>
    <n v="1295.46"/>
    <x v="2"/>
    <s v="Expired"/>
  </r>
  <r>
    <s v="Serv-LAT-0411"/>
    <s v="Server"/>
    <s v="EliteBook 840 Gen9"/>
    <s v="SN967841"/>
    <x v="1"/>
    <s v="CT-Appl-2026-411"/>
    <d v="2023-12-13T00:00:00"/>
    <d v="2025-12-13T00:00:00"/>
    <n v="8939.94"/>
    <x v="2"/>
    <s v="Expired"/>
  </r>
  <r>
    <s v="Desk-AME-0412"/>
    <s v="Desktop"/>
    <s v="ThinkPad X1 Gen9"/>
    <s v="SN279437"/>
    <x v="0"/>
    <s v="CT-Sams-2026-412"/>
    <d v="2026-01-16T00:00:00"/>
    <d v="2029-01-16T00:00:00"/>
    <n v="1342.47"/>
    <x v="0"/>
    <s v="Active"/>
  </r>
  <r>
    <s v="Serv-EME-0413"/>
    <s v="Server"/>
    <s v="MacBook Pro 16 Gen10"/>
    <s v="SN830772"/>
    <x v="6"/>
    <s v="CT-Fuji-2026-413"/>
    <d v="2023-05-13T00:00:00"/>
    <d v="2024-05-13T00:00:00"/>
    <n v="10850.58"/>
    <x v="3"/>
    <s v="Expired"/>
  </r>
  <r>
    <s v="Mobi-AME-0414"/>
    <s v="Mobile"/>
    <s v="ProLiant DL380 Gen12"/>
    <s v="SN112630"/>
    <x v="0"/>
    <s v="CT-Sams-2026-414"/>
    <d v="2025-01-25T00:00:00"/>
    <d v="2027-01-25T00:00:00"/>
    <n v="652.83000000000004"/>
    <x v="0"/>
    <s v="Active"/>
  </r>
  <r>
    <s v="Mobi-AME-0415"/>
    <s v="Mobile"/>
    <s v="ProLiant DL380 Gen12"/>
    <s v="SN1095144"/>
    <x v="2"/>
    <s v="CT-Dell-2026-415"/>
    <d v="2023-11-13T00:00:00"/>
    <d v="2025-11-13T00:00:00"/>
    <n v="612.54"/>
    <x v="0"/>
    <s v="Expired"/>
  </r>
  <r>
    <s v="Desk-AME-0416"/>
    <s v="Desktop"/>
    <s v="iPhone 14 Pro Gen10"/>
    <s v="SN988723"/>
    <x v="3"/>
    <s v="CT-Leno-2026-416"/>
    <d v="2024-01-30T00:00:00"/>
    <d v="2026-01-30T00:00:00"/>
    <n v="1013.62"/>
    <x v="0"/>
    <s v="Expired"/>
  </r>
  <r>
    <s v="Serv-APA-0417"/>
    <s v="Server"/>
    <s v="MacBook Pro 16 Gen8"/>
    <s v="SN1048714"/>
    <x v="1"/>
    <s v="CT-Appl-2026-417"/>
    <d v="2025-09-07T00:00:00"/>
    <d v="2026-09-07T00:00:00"/>
    <n v="7671.7"/>
    <x v="1"/>
    <s v="Active"/>
  </r>
  <r>
    <s v="Netw-LAT-0418"/>
    <s v="Network Gear"/>
    <s v="iPhone 14 Pro Gen9"/>
    <s v="SN321056"/>
    <x v="5"/>
    <s v="CT-HP I-2026-418"/>
    <d v="2024-02-23T00:00:00"/>
    <d v="2027-02-23T00:00:00"/>
    <n v="3988.92"/>
    <x v="2"/>
    <s v="Active"/>
  </r>
  <r>
    <s v="Serv-LAT-0419"/>
    <s v="Server"/>
    <s v="ThinkPad X1 Gen8"/>
    <s v="SN160698"/>
    <x v="3"/>
    <s v="CT-Leno-2026-419"/>
    <d v="2025-03-27T00:00:00"/>
    <d v="2028-03-27T00:00:00"/>
    <n v="11450.95"/>
    <x v="2"/>
    <s v="Active"/>
  </r>
  <r>
    <s v="Desk-APA-0420"/>
    <s v="Desktop"/>
    <s v="MacBook Pro 16 Gen8"/>
    <s v="SN207109"/>
    <x v="4"/>
    <s v="CT-Cisc-2026-420"/>
    <d v="2024-10-23T00:00:00"/>
    <d v="2026-10-23T00:00:00"/>
    <n v="966.56"/>
    <x v="1"/>
    <s v="Active"/>
  </r>
  <r>
    <s v="Netw-APA-0421"/>
    <s v="Network Gear"/>
    <s v="EliteBook 840 Gen10"/>
    <s v="SN974835"/>
    <x v="2"/>
    <s v="CT-Dell-2026-421"/>
    <d v="2024-09-01T00:00:00"/>
    <d v="2025-09-01T00:00:00"/>
    <n v="4184.25"/>
    <x v="1"/>
    <s v="Expired"/>
  </r>
  <r>
    <s v="Lapt-LAT-0422"/>
    <s v="Laptop"/>
    <s v="ProLiant DL380 Gen12"/>
    <s v="SN702430"/>
    <x v="2"/>
    <s v="CT-Dell-2026-422"/>
    <d v="2025-01-18T00:00:00"/>
    <d v="2027-01-18T00:00:00"/>
    <n v="1534.6"/>
    <x v="2"/>
    <s v="Active"/>
  </r>
  <r>
    <s v="Desk-AME-0423"/>
    <s v="Desktop"/>
    <s v="iPhone 14 Pro Gen12"/>
    <s v="SN928236"/>
    <x v="2"/>
    <s v="CT-Dell-2026-423"/>
    <d v="2025-09-27T00:00:00"/>
    <d v="2026-09-27T00:00:00"/>
    <n v="1598.72"/>
    <x v="0"/>
    <s v="Active"/>
  </r>
  <r>
    <s v="Serv-EME-0424"/>
    <s v="Server"/>
    <s v="ProLiant DL380 Gen11"/>
    <s v="SN942220"/>
    <x v="3"/>
    <s v="CT-Leno-2026-424"/>
    <d v="2025-11-13T00:00:00"/>
    <d v="2026-11-13T00:00:00"/>
    <n v="4027.3"/>
    <x v="3"/>
    <s v="Active"/>
  </r>
  <r>
    <s v="Prin-LAT-0425"/>
    <s v="Printer"/>
    <s v="Catalyst 9300 Gen9"/>
    <s v="SN752263"/>
    <x v="2"/>
    <s v="CT-Dell-2026-425"/>
    <d v="2025-11-28T00:00:00"/>
    <d v="2028-11-28T00:00:00"/>
    <n v="1190.44"/>
    <x v="2"/>
    <s v="Active"/>
  </r>
  <r>
    <s v="Prin-EME-0426"/>
    <s v="Printer"/>
    <s v="Catalyst 9300 Gen11"/>
    <s v="SN141821"/>
    <x v="1"/>
    <s v="CT-Appl-2026-426"/>
    <d v="2025-10-21T00:00:00"/>
    <d v="2026-10-21T00:00:00"/>
    <n v="617.44000000000005"/>
    <x v="3"/>
    <s v="Active"/>
  </r>
  <r>
    <s v="Serv-EME-0427"/>
    <s v="Server"/>
    <s v="EliteBook 840 Gen11"/>
    <s v="SN361687"/>
    <x v="2"/>
    <s v="CT-Dell-2026-427"/>
    <d v="2024-11-11T00:00:00"/>
    <d v="2027-11-11T00:00:00"/>
    <n v="9080.24"/>
    <x v="3"/>
    <s v="Active"/>
  </r>
  <r>
    <s v="Desk-EME-0428"/>
    <s v="Desktop"/>
    <s v="Catalyst 9300 Gen9"/>
    <s v="SN757354"/>
    <x v="5"/>
    <s v="CT-HP I-2026-428"/>
    <d v="2023-11-20T00:00:00"/>
    <d v="2024-11-20T00:00:00"/>
    <n v="1625.51"/>
    <x v="3"/>
    <s v="Expired"/>
  </r>
  <r>
    <s v="Lapt-EME-0429"/>
    <s v="Laptop"/>
    <s v="Catalyst 9300 Gen11"/>
    <s v="SN388383"/>
    <x v="2"/>
    <s v="CT-Dell-2026-429"/>
    <d v="2024-10-16T00:00:00"/>
    <d v="2025-10-16T00:00:00"/>
    <n v="995.77"/>
    <x v="3"/>
    <s v="Expired"/>
  </r>
  <r>
    <s v="Desk-AME-0430"/>
    <s v="Desktop"/>
    <s v="Latitude 5430 Gen8"/>
    <s v="SN337778"/>
    <x v="0"/>
    <s v="CT-Sams-2026-430"/>
    <d v="2025-10-07T00:00:00"/>
    <d v="2028-10-07T00:00:00"/>
    <n v="1944.06"/>
    <x v="0"/>
    <s v="Active"/>
  </r>
  <r>
    <s v="Prin-APA-0431"/>
    <s v="Printer"/>
    <s v="ProLiant DL380 Gen9"/>
    <s v="SN765799"/>
    <x v="4"/>
    <s v="CT-Cisc-2026-431"/>
    <d v="2025-03-01T00:00:00"/>
    <d v="2026-03-01T00:00:00"/>
    <n v="839.16"/>
    <x v="1"/>
    <s v="Expired"/>
  </r>
  <r>
    <s v="Mobi-LAT-0432"/>
    <s v="Mobile"/>
    <s v="EliteBook 840 Gen11"/>
    <s v="SN849591"/>
    <x v="4"/>
    <s v="CT-Cisc-2026-432"/>
    <d v="2024-03-12T00:00:00"/>
    <d v="2025-03-12T00:00:00"/>
    <n v="972.67"/>
    <x v="2"/>
    <s v="Expired"/>
  </r>
  <r>
    <s v="Prin-APA-0433"/>
    <s v="Printer"/>
    <s v="MacBook Pro 16 Gen9"/>
    <s v="SN1020463"/>
    <x v="1"/>
    <s v="CT-Appl-2026-433"/>
    <d v="2023-11-10T00:00:00"/>
    <d v="2026-11-10T00:00:00"/>
    <n v="754.73"/>
    <x v="1"/>
    <s v="Active"/>
  </r>
  <r>
    <s v="Serv-AME-0434"/>
    <s v="Server"/>
    <s v="ThinkPad X1 Gen11"/>
    <s v="SN505448"/>
    <x v="5"/>
    <s v="CT-HP I-2026-434"/>
    <d v="2025-12-06T00:00:00"/>
    <d v="2028-12-06T00:00:00"/>
    <n v="5783.29"/>
    <x v="0"/>
    <s v="Active"/>
  </r>
  <r>
    <s v="Desk-LAT-0435"/>
    <s v="Desktop"/>
    <s v="Latitude 5430 Gen10"/>
    <s v="SN176767"/>
    <x v="5"/>
    <s v="CT-HP I-2026-435"/>
    <d v="2023-10-14T00:00:00"/>
    <d v="2026-10-14T00:00:00"/>
    <n v="1916.16"/>
    <x v="2"/>
    <s v="Active"/>
  </r>
  <r>
    <s v="Mobi-EME-0436"/>
    <s v="Mobile"/>
    <s v="EliteBook 840 Gen11"/>
    <s v="SN377928"/>
    <x v="1"/>
    <s v="CT-Appl-2026-436"/>
    <d v="2025-10-17T00:00:00"/>
    <d v="2028-10-17T00:00:00"/>
    <n v="906.05"/>
    <x v="3"/>
    <s v="Active"/>
  </r>
  <r>
    <s v="Desk-LAT-0437"/>
    <s v="Desktop"/>
    <s v="Catalyst 9300 Gen12"/>
    <s v="SN431280"/>
    <x v="0"/>
    <s v="CT-Sams-2026-437"/>
    <d v="2025-06-20T00:00:00"/>
    <d v="2027-06-20T00:00:00"/>
    <n v="1857.68"/>
    <x v="2"/>
    <s v="Active"/>
  </r>
  <r>
    <s v="Serv-EME-0438"/>
    <s v="Server"/>
    <s v="ProLiant DL380 Gen11"/>
    <s v="SN329708"/>
    <x v="0"/>
    <s v="CT-Sams-2026-438"/>
    <d v="2025-07-10T00:00:00"/>
    <d v="2028-07-10T00:00:00"/>
    <n v="5209.93"/>
    <x v="3"/>
    <s v="Active"/>
  </r>
  <r>
    <s v="Lapt-APA-0439"/>
    <s v="Laptop"/>
    <s v="ThinkPad X1 Gen11"/>
    <s v="SN1002852"/>
    <x v="3"/>
    <s v="CT-Leno-2026-439"/>
    <d v="2024-03-15T00:00:00"/>
    <d v="2026-03-15T00:00:00"/>
    <n v="1406.54"/>
    <x v="1"/>
    <s v="Expired"/>
  </r>
  <r>
    <s v="Mobi-AME-0440"/>
    <s v="Mobile"/>
    <s v="EliteBook 840 Gen11"/>
    <s v="SN1041400"/>
    <x v="5"/>
    <s v="CT-HP I-2026-440"/>
    <d v="2023-07-15T00:00:00"/>
    <d v="2025-07-15T00:00:00"/>
    <n v="851.01"/>
    <x v="0"/>
    <s v="Expired"/>
  </r>
  <r>
    <s v="Netw-AME-0441"/>
    <s v="Network Gear"/>
    <s v="MacBook Pro 16 Gen9"/>
    <s v="SN814741"/>
    <x v="0"/>
    <s v="CT-Sams-2026-441"/>
    <d v="2023-09-07T00:00:00"/>
    <d v="2026-09-07T00:00:00"/>
    <n v="4145.33"/>
    <x v="0"/>
    <s v="Active"/>
  </r>
  <r>
    <s v="Netw-AME-0442"/>
    <s v="Network Gear"/>
    <s v="Latitude 5430 Gen11"/>
    <s v="SN168285"/>
    <x v="0"/>
    <s v="CT-Sams-2026-442"/>
    <d v="2023-10-30T00:00:00"/>
    <d v="2024-10-30T00:00:00"/>
    <n v="4586.21"/>
    <x v="0"/>
    <s v="Expired"/>
  </r>
  <r>
    <s v="Mobi-EME-0443"/>
    <s v="Mobile"/>
    <s v="iPhone 14 Pro Gen9"/>
    <s v="SN915017"/>
    <x v="1"/>
    <s v="CT-Appl-2026-443"/>
    <d v="2023-04-12T00:00:00"/>
    <d v="2026-04-12T00:00:00"/>
    <n v="1107.8900000000001"/>
    <x v="3"/>
    <s v="Expired"/>
  </r>
  <r>
    <s v="Netw-AME-0444"/>
    <s v="Network Gear"/>
    <s v="Latitude 5430 Gen8"/>
    <s v="SN907207"/>
    <x v="6"/>
    <s v="CT-Fuji-2026-444"/>
    <d v="2024-08-02T00:00:00"/>
    <d v="2025-08-02T00:00:00"/>
    <n v="4345.13"/>
    <x v="0"/>
    <s v="Expired"/>
  </r>
  <r>
    <s v="Prin-EME-0445"/>
    <s v="Printer"/>
    <s v="Latitude 5430 Gen12"/>
    <s v="SN791513"/>
    <x v="6"/>
    <s v="CT-Fuji-2026-445"/>
    <d v="2025-05-23T00:00:00"/>
    <d v="2028-05-23T00:00:00"/>
    <n v="812.74"/>
    <x v="3"/>
    <s v="Active"/>
  </r>
  <r>
    <s v="Desk-LAT-0446"/>
    <s v="Desktop"/>
    <s v="EliteBook 840 Gen9"/>
    <s v="SN504881"/>
    <x v="3"/>
    <s v="CT-Leno-2026-446"/>
    <d v="2024-04-04T00:00:00"/>
    <d v="2025-04-04T00:00:00"/>
    <n v="1488.1"/>
    <x v="2"/>
    <s v="Expired"/>
  </r>
  <r>
    <s v="Netw-LAT-0447"/>
    <s v="Network Gear"/>
    <s v="MacBook Pro 16 Gen8"/>
    <s v="SN987541"/>
    <x v="4"/>
    <s v="CT-Cisc-2026-447"/>
    <d v="2024-06-27T00:00:00"/>
    <d v="2027-06-27T00:00:00"/>
    <n v="5175.8599999999997"/>
    <x v="2"/>
    <s v="Active"/>
  </r>
  <r>
    <s v="Serv-AME-0448"/>
    <s v="Server"/>
    <s v="EliteBook 840 Gen8"/>
    <s v="SN488840"/>
    <x v="2"/>
    <s v="CT-Dell-2026-448"/>
    <d v="2025-02-16T00:00:00"/>
    <d v="2026-02-16T00:00:00"/>
    <n v="9383.39"/>
    <x v="0"/>
    <s v="Expired"/>
  </r>
  <r>
    <s v="Mobi-LAT-0449"/>
    <s v="Mobile"/>
    <s v="Latitude 5430 Gen8"/>
    <s v="SN674647"/>
    <x v="4"/>
    <s v="CT-Cisc-2026-449"/>
    <d v="2025-09-25T00:00:00"/>
    <d v="2028-09-25T00:00:00"/>
    <n v="1126.28"/>
    <x v="2"/>
    <s v="Active"/>
  </r>
  <r>
    <s v="Desk-APA-0450"/>
    <s v="Desktop"/>
    <s v="EliteBook 840 Gen9"/>
    <s v="SN652303"/>
    <x v="0"/>
    <s v="CT-Sams-2026-450"/>
    <d v="2025-09-09T00:00:00"/>
    <d v="2026-09-09T00:00:00"/>
    <n v="1248.83"/>
    <x v="1"/>
    <s v="Active"/>
  </r>
  <r>
    <s v="Lapt-AME-0451"/>
    <s v="Laptop"/>
    <s v="Latitude 5430 Gen9"/>
    <s v="SN1088647"/>
    <x v="6"/>
    <s v="CT-Fuji-2026-451"/>
    <d v="2023-06-17T00:00:00"/>
    <d v="2024-06-17T00:00:00"/>
    <n v="940.35"/>
    <x v="0"/>
    <s v="Expired"/>
  </r>
  <r>
    <s v="Prin-LAT-0452"/>
    <s v="Printer"/>
    <s v="Catalyst 9300 Gen9"/>
    <s v="SN1074198"/>
    <x v="0"/>
    <s v="CT-Sams-2026-452"/>
    <d v="2025-04-27T00:00:00"/>
    <d v="2027-04-27T00:00:00"/>
    <n v="705.33"/>
    <x v="2"/>
    <s v="Active"/>
  </r>
  <r>
    <s v="Serv-APA-0453"/>
    <s v="Server"/>
    <s v="Catalyst 9300 Gen10"/>
    <s v="SN985197"/>
    <x v="3"/>
    <s v="CT-Leno-2026-453"/>
    <d v="2024-09-16T00:00:00"/>
    <d v="2025-09-16T00:00:00"/>
    <n v="8553.34"/>
    <x v="1"/>
    <s v="Expired"/>
  </r>
  <r>
    <s v="Lapt-EME-0454"/>
    <s v="Laptop"/>
    <s v="ProLiant DL380 Gen9"/>
    <s v="SN705582"/>
    <x v="0"/>
    <s v="CT-Sams-2026-454"/>
    <d v="2025-01-18T00:00:00"/>
    <d v="2027-01-18T00:00:00"/>
    <n v="1748.86"/>
    <x v="3"/>
    <s v="Active"/>
  </r>
  <r>
    <s v="Desk-AME-0455"/>
    <s v="Desktop"/>
    <s v="iPhone 14 Pro Gen11"/>
    <s v="SN521134"/>
    <x v="5"/>
    <s v="CT-HP I-2026-455"/>
    <d v="2025-09-22T00:00:00"/>
    <d v="2028-09-22T00:00:00"/>
    <n v="1764.62"/>
    <x v="0"/>
    <s v="Active"/>
  </r>
  <r>
    <s v="Mobi-EME-0456"/>
    <s v="Mobile"/>
    <s v="ProLiant DL380 Gen12"/>
    <s v="SN303726"/>
    <x v="2"/>
    <s v="CT-Dell-2026-456"/>
    <d v="2025-06-25T00:00:00"/>
    <d v="2026-06-25T00:00:00"/>
    <n v="631.99"/>
    <x v="3"/>
    <s v="Active"/>
  </r>
  <r>
    <s v="Desk-AME-0457"/>
    <s v="Desktop"/>
    <s v="MacBook Pro 16 Gen9"/>
    <s v="SN217857"/>
    <x v="1"/>
    <s v="CT-Appl-2026-457"/>
    <d v="2025-01-29T00:00:00"/>
    <d v="2026-01-29T00:00:00"/>
    <n v="1532.46"/>
    <x v="0"/>
    <s v="Expired"/>
  </r>
  <r>
    <s v="Prin-AME-0458"/>
    <s v="Printer"/>
    <s v="iPhone 14 Pro Gen8"/>
    <s v="SN745102"/>
    <x v="5"/>
    <s v="CT-HP I-2026-458"/>
    <d v="2025-02-10T00:00:00"/>
    <d v="2027-02-10T00:00:00"/>
    <n v="472.5"/>
    <x v="0"/>
    <s v="Active"/>
  </r>
  <r>
    <s v="Serv-EME-0459"/>
    <s v="Server"/>
    <s v="EliteBook 840 Gen8"/>
    <s v="SN912989"/>
    <x v="4"/>
    <s v="CT-Cisc-2026-459"/>
    <d v="2024-10-03T00:00:00"/>
    <d v="2027-10-03T00:00:00"/>
    <n v="6920.89"/>
    <x v="3"/>
    <s v="Active"/>
  </r>
  <r>
    <s v="Mobi-APA-0460"/>
    <s v="Mobile"/>
    <s v="Latitude 5430 Gen11"/>
    <s v="SN998528"/>
    <x v="4"/>
    <s v="CT-Cisc-2026-460"/>
    <d v="2024-07-28T00:00:00"/>
    <d v="2025-07-28T00:00:00"/>
    <n v="910.8"/>
    <x v="1"/>
    <s v="Expired"/>
  </r>
  <r>
    <s v="Netw-LAT-0461"/>
    <s v="Network Gear"/>
    <s v="ThinkPad X1 Gen10"/>
    <s v="SN856570"/>
    <x v="5"/>
    <s v="CT-HP I-2026-461"/>
    <d v="2023-07-08T00:00:00"/>
    <d v="2025-07-08T00:00:00"/>
    <n v="6670.97"/>
    <x v="2"/>
    <s v="Expired"/>
  </r>
  <r>
    <s v="Desk-APA-0462"/>
    <s v="Desktop"/>
    <s v="Latitude 5430 Gen12"/>
    <s v="SN289722"/>
    <x v="5"/>
    <s v="CT-HP I-2026-462"/>
    <d v="2023-08-15T00:00:00"/>
    <d v="2026-08-15T00:00:00"/>
    <n v="1642.47"/>
    <x v="1"/>
    <s v="Active"/>
  </r>
  <r>
    <s v="Netw-AME-0463"/>
    <s v="Network Gear"/>
    <s v="MacBook Pro 16 Gen10"/>
    <s v="SN358026"/>
    <x v="6"/>
    <s v="CT-Fuji-2026-463"/>
    <d v="2024-03-17T00:00:00"/>
    <d v="2027-03-17T00:00:00"/>
    <n v="2714.18"/>
    <x v="0"/>
    <s v="Active"/>
  </r>
  <r>
    <s v="Prin-APA-0464"/>
    <s v="Printer"/>
    <s v="Catalyst 9300 Gen11"/>
    <s v="SN238501"/>
    <x v="2"/>
    <s v="CT-Dell-2026-464"/>
    <d v="2023-11-14T00:00:00"/>
    <d v="2026-11-14T00:00:00"/>
    <n v="844.87"/>
    <x v="1"/>
    <s v="Active"/>
  </r>
  <r>
    <s v="Prin-APA-0465"/>
    <s v="Printer"/>
    <s v="Latitude 5430 Gen11"/>
    <s v="SN640170"/>
    <x v="2"/>
    <s v="CT-Dell-2026-465"/>
    <d v="2024-12-22T00:00:00"/>
    <d v="2026-12-22T00:00:00"/>
    <n v="1073.74"/>
    <x v="1"/>
    <s v="Active"/>
  </r>
  <r>
    <s v="Desk-EME-0466"/>
    <s v="Desktop"/>
    <s v="Latitude 5430 Gen12"/>
    <s v="SN999903"/>
    <x v="0"/>
    <s v="CT-Sams-2026-466"/>
    <d v="2025-07-27T00:00:00"/>
    <d v="2027-07-27T00:00:00"/>
    <n v="1076.05"/>
    <x v="3"/>
    <s v="Active"/>
  </r>
  <r>
    <s v="Netw-AME-0467"/>
    <s v="Network Gear"/>
    <s v="Catalyst 9300 Gen10"/>
    <s v="SN806498"/>
    <x v="2"/>
    <s v="CT-Dell-2026-467"/>
    <d v="2023-06-13T00:00:00"/>
    <d v="2025-06-13T00:00:00"/>
    <n v="6900.52"/>
    <x v="0"/>
    <s v="Expired"/>
  </r>
  <r>
    <s v="Desk-AME-0468"/>
    <s v="Desktop"/>
    <s v="ProLiant DL380 Gen8"/>
    <s v="SN690452"/>
    <x v="2"/>
    <s v="CT-Dell-2026-468"/>
    <d v="2023-12-09T00:00:00"/>
    <d v="2024-12-09T00:00:00"/>
    <n v="921.45"/>
    <x v="0"/>
    <s v="Expired"/>
  </r>
  <r>
    <s v="Lapt-EME-0469"/>
    <s v="Laptop"/>
    <s v="Catalyst 9300 Gen10"/>
    <s v="SN1077995"/>
    <x v="5"/>
    <s v="CT-HP I-2026-469"/>
    <d v="2023-05-13T00:00:00"/>
    <d v="2025-05-13T00:00:00"/>
    <n v="1723.64"/>
    <x v="3"/>
    <s v="Expired"/>
  </r>
  <r>
    <s v="Desk-APA-0470"/>
    <s v="Desktop"/>
    <s v="ThinkPad X1 Gen9"/>
    <s v="SN630834"/>
    <x v="0"/>
    <s v="CT-Sams-2026-470"/>
    <d v="2024-10-30T00:00:00"/>
    <d v="2027-10-30T00:00:00"/>
    <n v="1666.4"/>
    <x v="1"/>
    <s v="Active"/>
  </r>
  <r>
    <s v="Lapt-AME-0471"/>
    <s v="Laptop"/>
    <s v="iPhone 14 Pro Gen10"/>
    <s v="SN705735"/>
    <x v="4"/>
    <s v="CT-Cisc-2026-471"/>
    <d v="2023-04-22T00:00:00"/>
    <d v="2025-04-22T00:00:00"/>
    <n v="1458.92"/>
    <x v="0"/>
    <s v="Expired"/>
  </r>
  <r>
    <s v="Prin-APA-0472"/>
    <s v="Printer"/>
    <s v="Latitude 5430 Gen9"/>
    <s v="SN186231"/>
    <x v="2"/>
    <s v="CT-Dell-2026-472"/>
    <d v="2023-10-29T00:00:00"/>
    <d v="2026-10-29T00:00:00"/>
    <n v="904.77"/>
    <x v="1"/>
    <s v="Active"/>
  </r>
  <r>
    <s v="Serv-LAT-0473"/>
    <s v="Server"/>
    <s v="ProLiant DL380 Gen12"/>
    <s v="SN215515"/>
    <x v="5"/>
    <s v="CT-HP I-2026-473"/>
    <d v="2023-05-24T00:00:00"/>
    <d v="2025-05-24T00:00:00"/>
    <n v="8912.2199999999993"/>
    <x v="2"/>
    <s v="Expired"/>
  </r>
  <r>
    <s v="Desk-APA-0474"/>
    <s v="Desktop"/>
    <s v="Catalyst 9300 Gen12"/>
    <s v="SN235555"/>
    <x v="2"/>
    <s v="CT-Dell-2026-474"/>
    <d v="2023-12-08T00:00:00"/>
    <d v="2026-12-08T00:00:00"/>
    <n v="1020.04"/>
    <x v="1"/>
    <s v="Active"/>
  </r>
  <r>
    <s v="Mobi-AME-0475"/>
    <s v="Mobile"/>
    <s v="iPhone 14 Pro Gen12"/>
    <s v="SN890758"/>
    <x v="0"/>
    <s v="CT-Sams-2026-475"/>
    <d v="2025-02-11T00:00:00"/>
    <d v="2027-02-11T00:00:00"/>
    <n v="1195.03"/>
    <x v="0"/>
    <s v="Active"/>
  </r>
  <r>
    <s v="Serv-EME-0476"/>
    <s v="Server"/>
    <s v="iPhone 14 Pro Gen9"/>
    <s v="SN550848"/>
    <x v="6"/>
    <s v="CT-Fuji-2026-476"/>
    <d v="2025-07-09T00:00:00"/>
    <d v="2026-07-09T00:00:00"/>
    <n v="9960.23"/>
    <x v="3"/>
    <s v="Active"/>
  </r>
  <r>
    <s v="Serv-LAT-0477"/>
    <s v="Server"/>
    <s v="ProLiant DL380 Gen9"/>
    <s v="SN649960"/>
    <x v="2"/>
    <s v="CT-Dell-2026-477"/>
    <d v="2025-10-02T00:00:00"/>
    <d v="2028-10-02T00:00:00"/>
    <n v="8499.9"/>
    <x v="2"/>
    <s v="Active"/>
  </r>
  <r>
    <s v="Serv-APA-0478"/>
    <s v="Server"/>
    <s v="Latitude 5430 Gen10"/>
    <s v="SN618080"/>
    <x v="2"/>
    <s v="CT-Dell-2026-478"/>
    <d v="2026-03-08T00:00:00"/>
    <d v="2027-03-08T00:00:00"/>
    <n v="6245.68"/>
    <x v="1"/>
    <s v="Active"/>
  </r>
  <r>
    <s v="Netw-LAT-0479"/>
    <s v="Network Gear"/>
    <s v="ProLiant DL380 Gen10"/>
    <s v="SN724909"/>
    <x v="1"/>
    <s v="CT-Appl-2026-479"/>
    <d v="2025-12-17T00:00:00"/>
    <d v="2026-12-17T00:00:00"/>
    <n v="2926.15"/>
    <x v="2"/>
    <s v="Active"/>
  </r>
  <r>
    <s v="Desk-APA-0480"/>
    <s v="Desktop"/>
    <s v="EliteBook 840 Gen10"/>
    <s v="SN680606"/>
    <x v="2"/>
    <s v="CT-Dell-2026-480"/>
    <d v="2025-08-27T00:00:00"/>
    <d v="2027-08-27T00:00:00"/>
    <n v="1241.92"/>
    <x v="1"/>
    <s v="Active"/>
  </r>
  <r>
    <s v="Mobi-EME-0481"/>
    <s v="Mobile"/>
    <s v="iPhone 14 Pro Gen8"/>
    <s v="SN795941"/>
    <x v="0"/>
    <s v="CT-Sams-2026-481"/>
    <d v="2023-06-30T00:00:00"/>
    <d v="2024-06-30T00:00:00"/>
    <n v="964.84"/>
    <x v="3"/>
    <s v="Expired"/>
  </r>
  <r>
    <s v="Lapt-AME-0482"/>
    <s v="Laptop"/>
    <s v="Latitude 5430 Gen9"/>
    <s v="SN1036529"/>
    <x v="3"/>
    <s v="CT-Leno-2026-482"/>
    <d v="2023-12-19T00:00:00"/>
    <d v="2024-12-19T00:00:00"/>
    <n v="1603.82"/>
    <x v="0"/>
    <s v="Expired"/>
  </r>
  <r>
    <s v="Desk-LAT-0483"/>
    <s v="Desktop"/>
    <s v="Catalyst 9300 Gen8"/>
    <s v="SN490475"/>
    <x v="1"/>
    <s v="CT-Appl-2026-483"/>
    <d v="2025-03-11T00:00:00"/>
    <d v="2028-03-11T00:00:00"/>
    <n v="1034.44"/>
    <x v="2"/>
    <s v="Active"/>
  </r>
  <r>
    <s v="Mobi-AME-0484"/>
    <s v="Mobile"/>
    <s v="Latitude 5430 Gen10"/>
    <s v="SN871220"/>
    <x v="6"/>
    <s v="CT-Fuji-2026-484"/>
    <d v="2024-06-12T00:00:00"/>
    <d v="2027-06-12T00:00:00"/>
    <n v="759.82"/>
    <x v="0"/>
    <s v="Active"/>
  </r>
  <r>
    <s v="Netw-AME-0485"/>
    <s v="Network Gear"/>
    <s v="ProLiant DL380 Gen11"/>
    <s v="SN401078"/>
    <x v="3"/>
    <s v="CT-Leno-2026-485"/>
    <d v="2024-08-25T00:00:00"/>
    <d v="2025-08-25T00:00:00"/>
    <n v="5137.5600000000004"/>
    <x v="0"/>
    <s v="Expired"/>
  </r>
  <r>
    <s v="Lapt-LAT-0486"/>
    <s v="Laptop"/>
    <s v="iPhone 14 Pro Gen10"/>
    <s v="SN156246"/>
    <x v="6"/>
    <s v="CT-Fuji-2026-486"/>
    <d v="2025-04-29T00:00:00"/>
    <d v="2028-04-29T00:00:00"/>
    <n v="1563.8"/>
    <x v="2"/>
    <s v="Active"/>
  </r>
  <r>
    <s v="Prin-LAT-0487"/>
    <s v="Printer"/>
    <s v="iPhone 14 Pro Gen11"/>
    <s v="SN1029314"/>
    <x v="3"/>
    <s v="CT-Leno-2026-487"/>
    <d v="2024-03-14T00:00:00"/>
    <d v="2025-03-14T00:00:00"/>
    <n v="1183.57"/>
    <x v="2"/>
    <s v="Expired"/>
  </r>
  <r>
    <s v="Prin-EME-0488"/>
    <s v="Printer"/>
    <s v="Latitude 5430 Gen8"/>
    <s v="SN395945"/>
    <x v="3"/>
    <s v="CT-Leno-2026-488"/>
    <d v="2024-12-03T00:00:00"/>
    <d v="2025-12-03T00:00:00"/>
    <n v="449.17"/>
    <x v="3"/>
    <s v="Expired"/>
  </r>
  <r>
    <s v="Serv-AME-0489"/>
    <s v="Server"/>
    <s v="iPhone 14 Pro Gen11"/>
    <s v="SN311624"/>
    <x v="6"/>
    <s v="CT-Fuji-2026-489"/>
    <d v="2026-02-24T00:00:00"/>
    <d v="2027-02-24T00:00:00"/>
    <n v="3676.23"/>
    <x v="0"/>
    <s v="Active"/>
  </r>
  <r>
    <s v="Serv-EME-0490"/>
    <s v="Server"/>
    <s v="Latitude 5430 Gen12"/>
    <s v="SN252924"/>
    <x v="2"/>
    <s v="CT-Dell-2026-490"/>
    <d v="2025-10-23T00:00:00"/>
    <d v="2027-10-23T00:00:00"/>
    <n v="5394.86"/>
    <x v="3"/>
    <s v="Active"/>
  </r>
  <r>
    <s v="Lapt-LAT-0491"/>
    <s v="Laptop"/>
    <s v="ThinkPad X1 Gen9"/>
    <s v="SN633481"/>
    <x v="5"/>
    <s v="CT-HP I-2026-491"/>
    <d v="2025-06-03T00:00:00"/>
    <d v="2027-06-03T00:00:00"/>
    <n v="1207.49"/>
    <x v="2"/>
    <s v="Active"/>
  </r>
  <r>
    <s v="Lapt-LAT-0492"/>
    <s v="Laptop"/>
    <s v="MacBook Pro 16 Gen8"/>
    <s v="SN333698"/>
    <x v="1"/>
    <s v="CT-Appl-2026-492"/>
    <d v="2025-05-10T00:00:00"/>
    <d v="2028-05-10T00:00:00"/>
    <n v="1472.3"/>
    <x v="2"/>
    <s v="Active"/>
  </r>
  <r>
    <s v="Desk-LAT-0493"/>
    <s v="Desktop"/>
    <s v="Latitude 5430 Gen8"/>
    <s v="SN488088"/>
    <x v="0"/>
    <s v="CT-Sams-2026-493"/>
    <d v="2025-12-16T00:00:00"/>
    <d v="2027-12-16T00:00:00"/>
    <n v="854.4"/>
    <x v="2"/>
    <s v="Active"/>
  </r>
  <r>
    <s v="Mobi-APA-0494"/>
    <s v="Mobile"/>
    <s v="Catalyst 9300 Gen9"/>
    <s v="SN665738"/>
    <x v="6"/>
    <s v="CT-Fuji-2026-494"/>
    <d v="2024-07-15T00:00:00"/>
    <d v="2025-07-15T00:00:00"/>
    <n v="1050.47"/>
    <x v="1"/>
    <s v="Expired"/>
  </r>
  <r>
    <s v="Mobi-APA-0495"/>
    <s v="Mobile"/>
    <s v="Latitude 5430 Gen9"/>
    <s v="SN185848"/>
    <x v="4"/>
    <s v="CT-Cisc-2026-495"/>
    <d v="2024-08-15T00:00:00"/>
    <d v="2025-08-15T00:00:00"/>
    <n v="675.38"/>
    <x v="1"/>
    <s v="Expired"/>
  </r>
  <r>
    <s v="Serv-EME-0496"/>
    <s v="Server"/>
    <s v="Latitude 5430 Gen11"/>
    <s v="SN647187"/>
    <x v="6"/>
    <s v="CT-Fuji-2026-496"/>
    <d v="2025-12-20T00:00:00"/>
    <d v="2027-12-20T00:00:00"/>
    <n v="9156.9699999999993"/>
    <x v="3"/>
    <s v="Active"/>
  </r>
  <r>
    <s v="Mobi-AME-0497"/>
    <s v="Mobile"/>
    <s v="MacBook Pro 16 Gen12"/>
    <s v="SN270864"/>
    <x v="1"/>
    <s v="CT-Appl-2026-497"/>
    <d v="2025-06-11T00:00:00"/>
    <d v="2028-06-11T00:00:00"/>
    <n v="1016.59"/>
    <x v="0"/>
    <s v="Active"/>
  </r>
  <r>
    <s v="Lapt-EME-0498"/>
    <s v="Laptop"/>
    <s v="EliteBook 840 Gen8"/>
    <s v="SN500462"/>
    <x v="4"/>
    <s v="CT-Cisc-2026-498"/>
    <d v="2024-07-07T00:00:00"/>
    <d v="2025-07-07T00:00:00"/>
    <n v="1711.85"/>
    <x v="3"/>
    <s v="Expired"/>
  </r>
  <r>
    <s v="Desk-EME-0499"/>
    <s v="Desktop"/>
    <s v="EliteBook 840 Gen11"/>
    <s v="SN550733"/>
    <x v="1"/>
    <s v="CT-Appl-2026-499"/>
    <d v="2023-05-22T00:00:00"/>
    <d v="2026-05-22T00:00:00"/>
    <n v="1626.22"/>
    <x v="3"/>
    <s v="Active"/>
  </r>
  <r>
    <s v="Lapt-EME-0500"/>
    <s v="Laptop"/>
    <s v="Latitude 5430 Gen12"/>
    <s v="SN511034"/>
    <x v="5"/>
    <s v="CT-HP I-2026-500"/>
    <d v="2025-11-25T00:00:00"/>
    <d v="2028-11-25T00:00:00"/>
    <n v="1669.77"/>
    <x v="3"/>
    <s v="Active"/>
  </r>
  <r>
    <s v="Serv-APA-0501"/>
    <s v="Server"/>
    <s v="EliteBook 840 Gen9"/>
    <s v="SN895852"/>
    <x v="4"/>
    <s v="CT-Cisc-2026-501"/>
    <d v="2025-01-16T00:00:00"/>
    <d v="2027-01-16T00:00:00"/>
    <n v="9797.17"/>
    <x v="1"/>
    <s v="Active"/>
  </r>
  <r>
    <s v="Prin-EME-0502"/>
    <s v="Printer"/>
    <s v="iPhone 14 Pro Gen11"/>
    <s v="SN582596"/>
    <x v="6"/>
    <s v="CT-Fuji-2026-502"/>
    <d v="2023-03-30T00:00:00"/>
    <d v="2026-03-30T00:00:00"/>
    <n v="730.49"/>
    <x v="3"/>
    <s v="Expired"/>
  </r>
  <r>
    <s v="Desk-APA-0503"/>
    <s v="Desktop"/>
    <s v="iPhone 14 Pro Gen9"/>
    <s v="SN214527"/>
    <x v="2"/>
    <s v="CT-Dell-2026-503"/>
    <d v="2025-11-28T00:00:00"/>
    <d v="2026-11-28T00:00:00"/>
    <n v="1499.87"/>
    <x v="1"/>
    <s v="Active"/>
  </r>
  <r>
    <s v="Lapt-EME-0504"/>
    <s v="Laptop"/>
    <s v="EliteBook 840 Gen10"/>
    <s v="SN889899"/>
    <x v="5"/>
    <s v="CT-HP I-2026-504"/>
    <d v="2025-05-24T00:00:00"/>
    <d v="2027-05-24T00:00:00"/>
    <n v="1405.95"/>
    <x v="3"/>
    <s v="Active"/>
  </r>
  <r>
    <s v="Lapt-LAT-0505"/>
    <s v="Laptop"/>
    <s v="ProLiant DL380 Gen12"/>
    <s v="SN260088"/>
    <x v="3"/>
    <s v="CT-Leno-2026-505"/>
    <d v="2025-02-22T00:00:00"/>
    <d v="2028-02-22T00:00:00"/>
    <n v="1149.7"/>
    <x v="2"/>
    <s v="Active"/>
  </r>
  <r>
    <s v="Serv-AME-0506"/>
    <s v="Server"/>
    <s v="ThinkPad X1 Gen12"/>
    <s v="SN660491"/>
    <x v="1"/>
    <s v="CT-Appl-2026-506"/>
    <d v="2023-07-06T00:00:00"/>
    <d v="2024-07-06T00:00:00"/>
    <n v="11040.07"/>
    <x v="0"/>
    <s v="Expired"/>
  </r>
  <r>
    <s v="Desk-EME-0507"/>
    <s v="Desktop"/>
    <s v="Catalyst 9300 Gen9"/>
    <s v="SN176313"/>
    <x v="1"/>
    <s v="CT-Appl-2026-507"/>
    <d v="2025-12-28T00:00:00"/>
    <d v="2028-12-28T00:00:00"/>
    <n v="1426.37"/>
    <x v="3"/>
    <s v="Active"/>
  </r>
  <r>
    <s v="Netw-APA-0508"/>
    <s v="Network Gear"/>
    <s v="iPhone 14 Pro Gen8"/>
    <s v="SN366608"/>
    <x v="0"/>
    <s v="CT-Sams-2026-508"/>
    <d v="2024-04-03T00:00:00"/>
    <d v="2025-04-03T00:00:00"/>
    <n v="3244.08"/>
    <x v="1"/>
    <s v="Expired"/>
  </r>
  <r>
    <s v="Prin-APA-0509"/>
    <s v="Printer"/>
    <s v="Latitude 5430 Gen8"/>
    <s v="SN937361"/>
    <x v="1"/>
    <s v="CT-Appl-2026-509"/>
    <d v="2023-03-24T00:00:00"/>
    <d v="2024-03-24T00:00:00"/>
    <n v="1121.81"/>
    <x v="1"/>
    <s v="Expired"/>
  </r>
  <r>
    <s v="Prin-EME-0510"/>
    <s v="Printer"/>
    <s v="Catalyst 9300 Gen8"/>
    <s v="SN858477"/>
    <x v="5"/>
    <s v="CT-HP I-2026-510"/>
    <d v="2025-07-04T00:00:00"/>
    <d v="2027-07-04T00:00:00"/>
    <n v="742.94"/>
    <x v="3"/>
    <s v="Active"/>
  </r>
  <r>
    <s v="Mobi-AME-0511"/>
    <s v="Mobile"/>
    <s v="EliteBook 840 Gen9"/>
    <s v="SN1088496"/>
    <x v="4"/>
    <s v="CT-Cisc-2026-511"/>
    <d v="2023-04-28T00:00:00"/>
    <d v="2025-04-28T00:00:00"/>
    <n v="946.4"/>
    <x v="0"/>
    <s v="Expired"/>
  </r>
  <r>
    <s v="Prin-EME-0512"/>
    <s v="Printer"/>
    <s v="ThinkPad X1 Gen10"/>
    <s v="SN220274"/>
    <x v="3"/>
    <s v="CT-Leno-2026-512"/>
    <d v="2025-07-23T00:00:00"/>
    <d v="2027-07-23T00:00:00"/>
    <n v="686.24"/>
    <x v="3"/>
    <s v="Active"/>
  </r>
  <r>
    <s v="Prin-APA-0513"/>
    <s v="Printer"/>
    <s v="Catalyst 9300 Gen10"/>
    <s v="SN443846"/>
    <x v="1"/>
    <s v="CT-Appl-2026-513"/>
    <d v="2025-03-29T00:00:00"/>
    <d v="2028-03-29T00:00:00"/>
    <n v="1096.3800000000001"/>
    <x v="1"/>
    <s v="Active"/>
  </r>
  <r>
    <s v="Mobi-AME-0514"/>
    <s v="Mobile"/>
    <s v="ProLiant DL380 Gen9"/>
    <s v="SN379984"/>
    <x v="2"/>
    <s v="CT-Dell-2026-514"/>
    <d v="2024-02-14T00:00:00"/>
    <d v="2025-02-14T00:00:00"/>
    <n v="1089.9000000000001"/>
    <x v="0"/>
    <s v="Expired"/>
  </r>
  <r>
    <s v="Prin-APA-0515"/>
    <s v="Printer"/>
    <s v="ThinkPad X1 Gen9"/>
    <s v="SN647429"/>
    <x v="4"/>
    <s v="CT-Cisc-2026-515"/>
    <d v="2023-12-22T00:00:00"/>
    <d v="2024-12-22T00:00:00"/>
    <n v="908.28"/>
    <x v="1"/>
    <s v="Expired"/>
  </r>
  <r>
    <s v="Netw-AME-0516"/>
    <s v="Network Gear"/>
    <s v="ProLiant DL380 Gen8"/>
    <s v="SN754424"/>
    <x v="6"/>
    <s v="CT-Fuji-2026-516"/>
    <d v="2023-08-09T00:00:00"/>
    <d v="2024-08-09T00:00:00"/>
    <n v="4870.8599999999997"/>
    <x v="0"/>
    <s v="Expired"/>
  </r>
  <r>
    <s v="Desk-LAT-0517"/>
    <s v="Desktop"/>
    <s v="Catalyst 9300 Gen10"/>
    <s v="SN753726"/>
    <x v="4"/>
    <s v="CT-Cisc-2026-517"/>
    <d v="2023-04-10T00:00:00"/>
    <d v="2024-04-10T00:00:00"/>
    <n v="896.76"/>
    <x v="2"/>
    <s v="Expired"/>
  </r>
  <r>
    <s v="Mobi-APA-0518"/>
    <s v="Mobile"/>
    <s v="iPhone 14 Pro Gen11"/>
    <s v="SN460668"/>
    <x v="1"/>
    <s v="CT-Appl-2026-518"/>
    <d v="2023-07-15T00:00:00"/>
    <d v="2025-07-15T00:00:00"/>
    <n v="708.46"/>
    <x v="1"/>
    <s v="Expired"/>
  </r>
  <r>
    <s v="Netw-EME-0519"/>
    <s v="Network Gear"/>
    <s v="EliteBook 840 Gen8"/>
    <s v="SN234029"/>
    <x v="1"/>
    <s v="CT-Appl-2026-519"/>
    <d v="2025-03-11T00:00:00"/>
    <d v="2027-03-11T00:00:00"/>
    <n v="2493.36"/>
    <x v="3"/>
    <s v="Active"/>
  </r>
  <r>
    <s v="Lapt-EME-0520"/>
    <s v="Laptop"/>
    <s v="Catalyst 9300 Gen9"/>
    <s v="SN875126"/>
    <x v="3"/>
    <s v="CT-Leno-2026-520"/>
    <d v="2024-02-06T00:00:00"/>
    <d v="2025-02-06T00:00:00"/>
    <n v="1245.94"/>
    <x v="3"/>
    <s v="Expi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EC9A7-1857-4A2B-8474-D19E88394CF5}" name="SLA_Performanc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O41" firstHeaderRow="1" firstDataRow="3" firstDataCol="1"/>
  <pivotFields count="10">
    <pivotField dataField="1" showAll="0"/>
    <pivotField showAll="0"/>
    <pivotField numFmtId="164" showAll="0"/>
    <pivotField numFmtId="164" showAll="0"/>
    <pivotField axis="axisRow" showAll="0">
      <items count="8">
        <item x="4"/>
        <item x="3"/>
        <item x="5"/>
        <item x="6"/>
        <item x="1"/>
        <item x="2"/>
        <item x="0"/>
        <item t="default"/>
      </items>
    </pivotField>
    <pivotField axis="axisRow" showAll="0">
      <items count="5">
        <item x="1"/>
        <item x="0"/>
        <item x="3"/>
        <item x="2"/>
        <item t="default"/>
      </items>
    </pivotField>
    <pivotField showAll="0"/>
    <pivotField showAll="0"/>
    <pivotField dataField="1" showAll="0"/>
    <pivotField axis="axisCol" showAll="0">
      <items count="7">
        <item x="5"/>
        <item x="0"/>
        <item x="1"/>
        <item x="2"/>
        <item x="4"/>
        <item x="3"/>
        <item t="default"/>
      </items>
    </pivotField>
  </pivotFields>
  <rowFields count="2">
    <field x="4"/>
    <field x="5"/>
  </rowFields>
  <rowItems count="36">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t="grand">
      <x/>
    </i>
  </rowItems>
  <colFields count="2">
    <field x="9"/>
    <field x="-2"/>
  </colFields>
  <colItems count="14">
    <i>
      <x/>
      <x/>
    </i>
    <i r="1" i="1">
      <x v="1"/>
    </i>
    <i>
      <x v="1"/>
      <x/>
    </i>
    <i r="1" i="1">
      <x v="1"/>
    </i>
    <i>
      <x v="2"/>
      <x/>
    </i>
    <i r="1" i="1">
      <x v="1"/>
    </i>
    <i>
      <x v="3"/>
      <x/>
    </i>
    <i r="1" i="1">
      <x v="1"/>
    </i>
    <i>
      <x v="4"/>
      <x/>
    </i>
    <i r="1" i="1">
      <x v="1"/>
    </i>
    <i>
      <x v="5"/>
      <x/>
    </i>
    <i r="1" i="1">
      <x v="1"/>
    </i>
    <i t="grand">
      <x/>
    </i>
    <i t="grand" i="1">
      <x/>
    </i>
  </colItems>
  <dataFields count="2">
    <dataField name="Total Repairs" fld="0" subtotal="count" baseField="0" baseItem="0"/>
    <dataField name="Breaches" fld="8" subtotal="count" baseField="0" baseItem="0"/>
  </dataFields>
  <chartFormats count="2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1"/>
          </reference>
          <reference field="9" count="1" selected="0">
            <x v="0"/>
          </reference>
        </references>
      </pivotArea>
    </chartFormat>
    <chartFormat chart="0" format="2" series="1">
      <pivotArea type="data" outline="0" fieldPosition="0">
        <references count="2">
          <reference field="4294967294" count="1" selected="0">
            <x v="0"/>
          </reference>
          <reference field="9" count="1" selected="0">
            <x v="1"/>
          </reference>
        </references>
      </pivotArea>
    </chartFormat>
    <chartFormat chart="0" format="3" series="1">
      <pivotArea type="data" outline="0" fieldPosition="0">
        <references count="2">
          <reference field="4294967294" count="1" selected="0">
            <x v="1"/>
          </reference>
          <reference field="9" count="1" selected="0">
            <x v="1"/>
          </reference>
        </references>
      </pivotArea>
    </chartFormat>
    <chartFormat chart="0" format="4" series="1">
      <pivotArea type="data" outline="0" fieldPosition="0">
        <references count="2">
          <reference field="4294967294" count="1" selected="0">
            <x v="0"/>
          </reference>
          <reference field="9" count="1" selected="0">
            <x v="2"/>
          </reference>
        </references>
      </pivotArea>
    </chartFormat>
    <chartFormat chart="0" format="5" series="1">
      <pivotArea type="data" outline="0" fieldPosition="0">
        <references count="2">
          <reference field="4294967294" count="1" selected="0">
            <x v="1"/>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0" format="7" series="1">
      <pivotArea type="data" outline="0" fieldPosition="0">
        <references count="2">
          <reference field="4294967294" count="1" selected="0">
            <x v="1"/>
          </reference>
          <reference field="9" count="1" selected="0">
            <x v="3"/>
          </reference>
        </references>
      </pivotArea>
    </chartFormat>
    <chartFormat chart="0" format="8" series="1">
      <pivotArea type="data" outline="0" fieldPosition="0">
        <references count="2">
          <reference field="4294967294" count="1" selected="0">
            <x v="0"/>
          </reference>
          <reference field="9" count="1" selected="0">
            <x v="4"/>
          </reference>
        </references>
      </pivotArea>
    </chartFormat>
    <chartFormat chart="0" format="9" series="1">
      <pivotArea type="data" outline="0" fieldPosition="0">
        <references count="2">
          <reference field="4294967294" count="1" selected="0">
            <x v="1"/>
          </reference>
          <reference field="9" count="1" selected="0">
            <x v="4"/>
          </reference>
        </references>
      </pivotArea>
    </chartFormat>
    <chartFormat chart="0" format="10" series="1">
      <pivotArea type="data" outline="0" fieldPosition="0">
        <references count="2">
          <reference field="4294967294" count="1" selected="0">
            <x v="0"/>
          </reference>
          <reference field="9" count="1" selected="0">
            <x v="5"/>
          </reference>
        </references>
      </pivotArea>
    </chartFormat>
    <chartFormat chart="0" format="11" series="1">
      <pivotArea type="data" outline="0" fieldPosition="0">
        <references count="2">
          <reference field="4294967294" count="1" selected="0">
            <x v="1"/>
          </reference>
          <reference field="9" count="1" selected="0">
            <x v="5"/>
          </reference>
        </references>
      </pivotArea>
    </chartFormat>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1"/>
          </reference>
          <reference field="9" count="1" selected="0">
            <x v="0"/>
          </reference>
        </references>
      </pivotArea>
    </chartFormat>
    <chartFormat chart="1" format="2" series="1">
      <pivotArea type="data" outline="0" fieldPosition="0">
        <references count="2">
          <reference field="4294967294" count="1" selected="0">
            <x v="0"/>
          </reference>
          <reference field="9" count="1" selected="0">
            <x v="1"/>
          </reference>
        </references>
      </pivotArea>
    </chartFormat>
    <chartFormat chart="1" format="3" series="1">
      <pivotArea type="data" outline="0" fieldPosition="0">
        <references count="2">
          <reference field="4294967294" count="1" selected="0">
            <x v="1"/>
          </reference>
          <reference field="9" count="1" selected="0">
            <x v="1"/>
          </reference>
        </references>
      </pivotArea>
    </chartFormat>
    <chartFormat chart="1" format="4" series="1">
      <pivotArea type="data" outline="0" fieldPosition="0">
        <references count="2">
          <reference field="4294967294" count="1" selected="0">
            <x v="0"/>
          </reference>
          <reference field="9" count="1" selected="0">
            <x v="2"/>
          </reference>
        </references>
      </pivotArea>
    </chartFormat>
    <chartFormat chart="1" format="5" series="1">
      <pivotArea type="data" outline="0" fieldPosition="0">
        <references count="2">
          <reference field="4294967294" count="1" selected="0">
            <x v="1"/>
          </reference>
          <reference field="9" count="1" selected="0">
            <x v="2"/>
          </reference>
        </references>
      </pivotArea>
    </chartFormat>
    <chartFormat chart="1" format="6" series="1">
      <pivotArea type="data" outline="0" fieldPosition="0">
        <references count="2">
          <reference field="4294967294" count="1" selected="0">
            <x v="0"/>
          </reference>
          <reference field="9" count="1" selected="0">
            <x v="3"/>
          </reference>
        </references>
      </pivotArea>
    </chartFormat>
    <chartFormat chart="1" format="7" series="1">
      <pivotArea type="data" outline="0" fieldPosition="0">
        <references count="2">
          <reference field="4294967294" count="1" selected="0">
            <x v="1"/>
          </reference>
          <reference field="9" count="1" selected="0">
            <x v="3"/>
          </reference>
        </references>
      </pivotArea>
    </chartFormat>
    <chartFormat chart="1" format="8" series="1">
      <pivotArea type="data" outline="0" fieldPosition="0">
        <references count="2">
          <reference field="4294967294" count="1" selected="0">
            <x v="0"/>
          </reference>
          <reference field="9" count="1" selected="0">
            <x v="4"/>
          </reference>
        </references>
      </pivotArea>
    </chartFormat>
    <chartFormat chart="1" format="9" series="1">
      <pivotArea type="data" outline="0" fieldPosition="0">
        <references count="2">
          <reference field="4294967294" count="1" selected="0">
            <x v="1"/>
          </reference>
          <reference field="9" count="1" selected="0">
            <x v="4"/>
          </reference>
        </references>
      </pivotArea>
    </chartFormat>
    <chartFormat chart="1" format="10" series="1">
      <pivotArea type="data" outline="0" fieldPosition="0">
        <references count="2">
          <reference field="4294967294" count="1" selected="0">
            <x v="0"/>
          </reference>
          <reference field="9" count="1" selected="0">
            <x v="5"/>
          </reference>
        </references>
      </pivotArea>
    </chartFormat>
    <chartFormat chart="1" format="11" series="1">
      <pivotArea type="data" outline="0" fieldPosition="0">
        <references count="2">
          <reference field="4294967294" count="1" selected="0">
            <x v="1"/>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395AE-9E90-4D1F-BCD1-B34DD617C242}" name="Regional_Spend"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6" firstHeaderRow="0" firstDataRow="1" firstDataCol="1"/>
  <pivotFields count="11">
    <pivotField dataField="1" showAll="0"/>
    <pivotField showAll="0"/>
    <pivotField showAll="0"/>
    <pivotField showAll="0"/>
    <pivotField axis="axisRow" showAll="0">
      <items count="8">
        <item x="1"/>
        <item x="4"/>
        <item x="2"/>
        <item x="6"/>
        <item x="5"/>
        <item x="3"/>
        <item x="0"/>
        <item t="default"/>
      </items>
    </pivotField>
    <pivotField showAll="0"/>
    <pivotField numFmtId="164" showAll="0"/>
    <pivotField numFmtId="164" showAll="0"/>
    <pivotField dataField="1" numFmtId="165" showAll="0"/>
    <pivotField axis="axisRow" showAll="0">
      <items count="5">
        <item x="0"/>
        <item x="1"/>
        <item x="3"/>
        <item x="2"/>
        <item t="default"/>
      </items>
    </pivotField>
    <pivotField showAll="0"/>
  </pivotFields>
  <rowFields count="2">
    <field x="9"/>
    <field x="4"/>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2"/>
  </colFields>
  <colItems count="2">
    <i>
      <x/>
    </i>
    <i i="1">
      <x v="1"/>
    </i>
  </colItems>
  <dataFields count="2">
    <dataField name="Total Annual Spend" fld="8" baseField="0" baseItem="0" numFmtId="167"/>
    <dataField name="Device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D2DFE2-9F88-43E2-A6F8-D7670D758855}" sourceName="Region">
  <pivotTables>
    <pivotTable tabId="18" name="SLA_Performance"/>
  </pivotTables>
  <data>
    <tabular pivotCacheId="90697223">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2A0441-EE15-4F4D-BAC6-CF4985618DF6}" cache="Slicer_Region" caption="Region Fil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7B2E3C-66EC-4192-B1B9-C8DD21CE08A3}" name="Assets_Master" displayName="Assets_Master" ref="A1:K521" totalsRowShown="0">
  <autoFilter ref="A1:K521" xr:uid="{9C7B2E3C-66EC-4192-B1B9-C8DD21CE08A3}"/>
  <tableColumns count="11">
    <tableColumn id="1" xr3:uid="{687CBECB-C7EC-4182-8258-6044138D6669}" name="Asset_Tag"/>
    <tableColumn id="2" xr3:uid="{D1F413DB-F470-41D3-8EA2-05E636FE41A2}" name="Device_Type"/>
    <tableColumn id="3" xr3:uid="{EE6EA9E9-BC4A-46CB-A523-55382C018A2F}" name="Model"/>
    <tableColumn id="4" xr3:uid="{09C5B4C1-1680-40F4-8CD3-417C5F6F2C11}" name="Serial_Number"/>
    <tableColumn id="5" xr3:uid="{652F4F42-2DAE-40E6-A0D4-5F9F5EE6DF67}" name="Vendor_Name"/>
    <tableColumn id="6" xr3:uid="{D18B18A0-D427-493C-BE70-5DE644CE254C}" name="Contract_ID"/>
    <tableColumn id="7" xr3:uid="{DEFE4387-A3C1-45AC-9B36-A3D0247E72A7}" name="Start_Date" dataDxfId="5"/>
    <tableColumn id="8" xr3:uid="{4314D348-7DCA-43B8-A695-FE3BD549ABB1}" name="End_Date" dataDxfId="4"/>
    <tableColumn id="9" xr3:uid="{4F48CDFF-CCC3-45AE-AA3D-1503C2B10549}" name="Annual_Cost" dataDxfId="3"/>
    <tableColumn id="10" xr3:uid="{D1E403C0-7A56-4BC8-98D4-4E38AB44A1FD}" name="Region"/>
    <tableColumn id="11" xr3:uid="{D900FDA9-B813-4D65-902D-12C5E0E3B46D}" name="SLA_Status">
      <calculatedColumnFormula>IF(TODAY()&gt;H2,"Expired","Active")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7593AEB-248F-4C41-9B82-5AC3E0373C5C}" name="Repair_Log" displayName="Repair_Log" ref="A1:J381" totalsRowShown="0" headerRowDxfId="2">
  <autoFilter ref="A1:J381" xr:uid="{C7593AEB-248F-4C41-9B82-5AC3E0373C5C}"/>
  <tableColumns count="10">
    <tableColumn id="1" xr3:uid="{613CD7AD-1E8E-4CB9-BDC2-3D057AEACD40}" name="Ticket_ID"/>
    <tableColumn id="2" xr3:uid="{586D1E8B-1E8B-48CB-93BD-9DD357FAEE31}" name="Asset_Tag"/>
    <tableColumn id="3" xr3:uid="{832E9BCA-D0CF-4BF9-8472-CA1FF20B811E}" name="Date_Reported" dataDxfId="1"/>
    <tableColumn id="4" xr3:uid="{DF7DA905-BC27-41E1-BC3A-FBCFA26304EC}" name="Date_Resolved" dataDxfId="0"/>
    <tableColumn id="5" xr3:uid="{CECEAED7-0486-4736-B09E-85DA814260C6}" name="Vendor">
      <calculatedColumnFormula>IFERROR(VLOOKUP(B2,Assets_Master!A:E,5,FALSE),"Unknown")</calculatedColumnFormula>
    </tableColumn>
    <tableColumn id="6" xr3:uid="{28A85974-EA7C-40F6-9D47-33AFFFCD1079}" name="Region">
      <calculatedColumnFormula>IFERROR(VLOOKUP(B2,Assets_Master!A:J,10,FALSE),"Unknown")</calculatedColumnFormula>
    </tableColumn>
    <tableColumn id="7" xr3:uid="{C83702DB-5F65-4B6A-A15C-EFCBFF70C30F}" name="SLA_Days_Allowed"/>
    <tableColumn id="8" xr3:uid="{569B259E-120A-42E4-B1B2-780931FEBB82}" name="Actual_TAT">
      <calculatedColumnFormula>IF(AND(C2&lt;&gt;"",D2&lt;&gt;""),NETWORKDAYS(C2,D2),0)</calculatedColumnFormula>
    </tableColumn>
    <tableColumn id="9" xr3:uid="{BE44CE0F-D184-4485-91F9-7D22CED670F0}" name="SLA_Breach">
      <calculatedColumnFormula>IF(H2&gt;G2,"YES","NO")</calculatedColumnFormula>
    </tableColumn>
    <tableColumn id="10" xr3:uid="{ABAFDEC8-194A-4A03-A1CD-F4AC523D370E}" name="Month">
      <calculatedColumnFormula>TEXT(C2,"mmm-yyyy")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B688-92D5-42DC-958A-795119AEFE51}">
  <sheetPr codeName="Sheet15"/>
  <dimension ref="A1:K521"/>
  <sheetViews>
    <sheetView workbookViewId="0">
      <selection activeCell="D8" sqref="D8"/>
    </sheetView>
  </sheetViews>
  <sheetFormatPr defaultRowHeight="15" x14ac:dyDescent="0.25"/>
  <cols>
    <col min="1" max="1" width="14.7109375" bestFit="1" customWidth="1"/>
    <col min="2" max="2" width="14.5703125" customWidth="1"/>
    <col min="3" max="3" width="21.140625" bestFit="1" customWidth="1"/>
    <col min="4" max="4" width="16.42578125" customWidth="1"/>
    <col min="5" max="5" width="15.7109375" customWidth="1"/>
    <col min="6" max="6" width="17.42578125" bestFit="1" customWidth="1"/>
    <col min="7" max="7" width="12.5703125" style="3" customWidth="1"/>
    <col min="8" max="8" width="11.7109375" style="3" customWidth="1"/>
    <col min="9" max="9" width="14.42578125" style="5" customWidth="1"/>
    <col min="10" max="10" width="9.42578125" customWidth="1"/>
    <col min="11" max="11" width="13" customWidth="1"/>
  </cols>
  <sheetData>
    <row r="1" spans="1:11" x14ac:dyDescent="0.25">
      <c r="A1" s="1" t="s">
        <v>0</v>
      </c>
      <c r="B1" s="1" t="s">
        <v>1</v>
      </c>
      <c r="C1" s="1" t="s">
        <v>2</v>
      </c>
      <c r="D1" s="1" t="s">
        <v>3</v>
      </c>
      <c r="E1" s="1" t="s">
        <v>4</v>
      </c>
      <c r="F1" s="1" t="s">
        <v>5</v>
      </c>
      <c r="G1" s="2" t="s">
        <v>6</v>
      </c>
      <c r="H1" s="2" t="s">
        <v>7</v>
      </c>
      <c r="I1" s="4" t="s">
        <v>8</v>
      </c>
      <c r="J1" s="1" t="s">
        <v>9</v>
      </c>
      <c r="K1" s="1" t="s">
        <v>10</v>
      </c>
    </row>
    <row r="2" spans="1:11" x14ac:dyDescent="0.25">
      <c r="A2" t="s">
        <v>655</v>
      </c>
      <c r="B2" t="s">
        <v>29</v>
      </c>
      <c r="C2" t="s">
        <v>55</v>
      </c>
      <c r="D2" t="s">
        <v>656</v>
      </c>
      <c r="E2" t="s">
        <v>17</v>
      </c>
      <c r="F2" t="s">
        <v>657</v>
      </c>
      <c r="G2" s="3">
        <v>45484</v>
      </c>
      <c r="H2" s="3">
        <v>46214</v>
      </c>
      <c r="I2" s="5">
        <v>11109.06</v>
      </c>
      <c r="J2" t="s">
        <v>19</v>
      </c>
      <c r="K2" t="str">
        <f ca="1">IF(TODAY()&gt;H2,"Expired","Active")</f>
        <v>Active</v>
      </c>
    </row>
    <row r="3" spans="1:11" x14ac:dyDescent="0.25">
      <c r="A3" t="s">
        <v>658</v>
      </c>
      <c r="B3" t="s">
        <v>24</v>
      </c>
      <c r="C3" t="s">
        <v>65</v>
      </c>
      <c r="D3" t="s">
        <v>659</v>
      </c>
      <c r="E3" t="s">
        <v>17</v>
      </c>
      <c r="F3" t="s">
        <v>18</v>
      </c>
      <c r="G3" s="3">
        <v>45328</v>
      </c>
      <c r="H3" s="3">
        <v>45694</v>
      </c>
      <c r="I3" s="5">
        <v>883.58</v>
      </c>
      <c r="J3" t="s">
        <v>19</v>
      </c>
      <c r="K3" t="str">
        <f ca="1">IF(TODAY()&gt;H3,"Expired","Active")</f>
        <v>Expired</v>
      </c>
    </row>
    <row r="4" spans="1:11" x14ac:dyDescent="0.25">
      <c r="A4" t="s">
        <v>660</v>
      </c>
      <c r="B4" t="s">
        <v>29</v>
      </c>
      <c r="C4" t="s">
        <v>62</v>
      </c>
      <c r="D4" t="s">
        <v>661</v>
      </c>
      <c r="E4" t="s">
        <v>37</v>
      </c>
      <c r="F4" t="s">
        <v>662</v>
      </c>
      <c r="G4" s="3">
        <v>45111</v>
      </c>
      <c r="H4" s="3">
        <v>46207</v>
      </c>
      <c r="I4" s="5">
        <v>7374.52</v>
      </c>
      <c r="J4" t="s">
        <v>23</v>
      </c>
      <c r="K4" t="str">
        <f ca="1">IF(TODAY()&gt;H4,"Expired","Active")</f>
        <v>Active</v>
      </c>
    </row>
    <row r="5" spans="1:11" x14ac:dyDescent="0.25">
      <c r="A5" t="s">
        <v>663</v>
      </c>
      <c r="B5" t="s">
        <v>29</v>
      </c>
      <c r="C5" t="s">
        <v>36</v>
      </c>
      <c r="D5" t="s">
        <v>664</v>
      </c>
      <c r="E5" t="s">
        <v>34</v>
      </c>
      <c r="F5" t="s">
        <v>665</v>
      </c>
      <c r="G5" s="3">
        <v>45188</v>
      </c>
      <c r="H5" s="3">
        <v>46284</v>
      </c>
      <c r="I5" s="5">
        <v>10866.56</v>
      </c>
      <c r="J5" t="s">
        <v>23</v>
      </c>
      <c r="K5" t="str">
        <f ca="1">IF(TODAY()&gt;H5,"Expired","Active")</f>
        <v>Active</v>
      </c>
    </row>
    <row r="6" spans="1:11" x14ac:dyDescent="0.25">
      <c r="A6" t="s">
        <v>666</v>
      </c>
      <c r="B6" t="s">
        <v>29</v>
      </c>
      <c r="C6" t="s">
        <v>68</v>
      </c>
      <c r="D6" t="s">
        <v>667</v>
      </c>
      <c r="E6" t="s">
        <v>17</v>
      </c>
      <c r="F6" t="s">
        <v>668</v>
      </c>
      <c r="G6" s="3">
        <v>45125</v>
      </c>
      <c r="H6" s="3">
        <v>45856</v>
      </c>
      <c r="I6" s="5">
        <v>5130.16</v>
      </c>
      <c r="J6" t="s">
        <v>19</v>
      </c>
      <c r="K6" t="str">
        <f ca="1">IF(TODAY()&gt;H6,"Expired","Active")</f>
        <v>Expired</v>
      </c>
    </row>
    <row r="7" spans="1:11" x14ac:dyDescent="0.25">
      <c r="A7" t="s">
        <v>669</v>
      </c>
      <c r="B7" t="s">
        <v>29</v>
      </c>
      <c r="C7" t="s">
        <v>40</v>
      </c>
      <c r="D7" t="s">
        <v>670</v>
      </c>
      <c r="E7" t="s">
        <v>32</v>
      </c>
      <c r="F7" t="s">
        <v>671</v>
      </c>
      <c r="G7" s="3">
        <v>45558</v>
      </c>
      <c r="H7" s="3">
        <v>45923</v>
      </c>
      <c r="I7" s="5">
        <v>9826.73</v>
      </c>
      <c r="J7" t="s">
        <v>19</v>
      </c>
      <c r="K7" t="str">
        <f ca="1">IF(TODAY()&gt;H7,"Expired","Active")</f>
        <v>Expired</v>
      </c>
    </row>
    <row r="8" spans="1:11" x14ac:dyDescent="0.25">
      <c r="A8" t="s">
        <v>672</v>
      </c>
      <c r="B8" t="s">
        <v>24</v>
      </c>
      <c r="C8" t="s">
        <v>21</v>
      </c>
      <c r="D8" t="s">
        <v>673</v>
      </c>
      <c r="E8" t="s">
        <v>32</v>
      </c>
      <c r="F8" t="s">
        <v>563</v>
      </c>
      <c r="G8" s="3">
        <v>45680</v>
      </c>
      <c r="H8" s="3">
        <v>46775</v>
      </c>
      <c r="I8" s="5">
        <v>1908.46</v>
      </c>
      <c r="J8" t="s">
        <v>23</v>
      </c>
      <c r="K8" t="str">
        <f ca="1">IF(TODAY()&gt;H8,"Expired","Active")</f>
        <v>Active</v>
      </c>
    </row>
    <row r="9" spans="1:11" x14ac:dyDescent="0.25">
      <c r="A9" t="s">
        <v>674</v>
      </c>
      <c r="B9" t="s">
        <v>20</v>
      </c>
      <c r="C9" t="s">
        <v>30</v>
      </c>
      <c r="D9" t="s">
        <v>675</v>
      </c>
      <c r="E9" t="s">
        <v>39</v>
      </c>
      <c r="F9" t="s">
        <v>676</v>
      </c>
      <c r="G9" s="3">
        <v>45560</v>
      </c>
      <c r="H9" s="3">
        <v>45925</v>
      </c>
      <c r="I9" s="5">
        <v>979.3</v>
      </c>
      <c r="J9" t="s">
        <v>14</v>
      </c>
      <c r="K9" t="str">
        <f ca="1">IF(TODAY()&gt;H9,"Expired","Active")</f>
        <v>Expired</v>
      </c>
    </row>
    <row r="10" spans="1:11" x14ac:dyDescent="0.25">
      <c r="A10" t="s">
        <v>677</v>
      </c>
      <c r="B10" t="s">
        <v>29</v>
      </c>
      <c r="C10" t="s">
        <v>52</v>
      </c>
      <c r="D10" t="s">
        <v>678</v>
      </c>
      <c r="E10" t="s">
        <v>22</v>
      </c>
      <c r="F10" t="s">
        <v>679</v>
      </c>
      <c r="G10" s="3">
        <v>45646</v>
      </c>
      <c r="H10" s="3">
        <v>46741</v>
      </c>
      <c r="I10" s="5">
        <v>8546.2999999999993</v>
      </c>
      <c r="J10" t="s">
        <v>23</v>
      </c>
      <c r="K10" t="str">
        <f ca="1">IF(TODAY()&gt;H10,"Expired","Active")</f>
        <v>Active</v>
      </c>
    </row>
    <row r="11" spans="1:11" x14ac:dyDescent="0.25">
      <c r="A11" t="s">
        <v>680</v>
      </c>
      <c r="B11" t="s">
        <v>26</v>
      </c>
      <c r="C11" t="s">
        <v>16</v>
      </c>
      <c r="D11" t="s">
        <v>681</v>
      </c>
      <c r="E11" t="s">
        <v>32</v>
      </c>
      <c r="F11" t="s">
        <v>682</v>
      </c>
      <c r="G11" s="3">
        <v>45036</v>
      </c>
      <c r="H11" s="3">
        <v>45402</v>
      </c>
      <c r="I11" s="5">
        <v>1020.55</v>
      </c>
      <c r="J11" t="s">
        <v>23</v>
      </c>
      <c r="K11" t="str">
        <f ca="1">IF(TODAY()&gt;H11,"Expired","Active")</f>
        <v>Expired</v>
      </c>
    </row>
    <row r="12" spans="1:11" x14ac:dyDescent="0.25">
      <c r="A12" t="s">
        <v>683</v>
      </c>
      <c r="B12" t="s">
        <v>26</v>
      </c>
      <c r="C12" t="s">
        <v>53</v>
      </c>
      <c r="D12" t="s">
        <v>684</v>
      </c>
      <c r="E12" t="s">
        <v>17</v>
      </c>
      <c r="F12" t="s">
        <v>564</v>
      </c>
      <c r="G12" s="3">
        <v>45601</v>
      </c>
      <c r="H12" s="3">
        <v>46331</v>
      </c>
      <c r="I12" s="5">
        <v>1148.54</v>
      </c>
      <c r="J12" t="s">
        <v>35</v>
      </c>
      <c r="K12" t="str">
        <f ca="1">IF(TODAY()&gt;H12,"Expired","Active")</f>
        <v>Active</v>
      </c>
    </row>
    <row r="13" spans="1:11" x14ac:dyDescent="0.25">
      <c r="A13" t="s">
        <v>685</v>
      </c>
      <c r="B13" t="s">
        <v>29</v>
      </c>
      <c r="C13" t="s">
        <v>53</v>
      </c>
      <c r="D13" t="s">
        <v>686</v>
      </c>
      <c r="E13" t="s">
        <v>37</v>
      </c>
      <c r="F13" t="s">
        <v>687</v>
      </c>
      <c r="G13" s="3">
        <v>45958</v>
      </c>
      <c r="H13" s="3">
        <v>46323</v>
      </c>
      <c r="I13" s="5">
        <v>9376.27</v>
      </c>
      <c r="J13" t="s">
        <v>14</v>
      </c>
      <c r="K13" t="str">
        <f ca="1">IF(TODAY()&gt;H13,"Expired","Active")</f>
        <v>Active</v>
      </c>
    </row>
    <row r="14" spans="1:11" x14ac:dyDescent="0.25">
      <c r="A14" t="s">
        <v>688</v>
      </c>
      <c r="B14" t="s">
        <v>20</v>
      </c>
      <c r="C14" t="s">
        <v>65</v>
      </c>
      <c r="D14" t="s">
        <v>689</v>
      </c>
      <c r="E14" t="s">
        <v>34</v>
      </c>
      <c r="F14" t="s">
        <v>690</v>
      </c>
      <c r="G14" s="3">
        <v>45816</v>
      </c>
      <c r="H14" s="3">
        <v>46912</v>
      </c>
      <c r="I14" s="5">
        <v>1392.47</v>
      </c>
      <c r="J14" t="s">
        <v>23</v>
      </c>
      <c r="K14" t="str">
        <f ca="1">IF(TODAY()&gt;H14,"Expired","Active")</f>
        <v>Active</v>
      </c>
    </row>
    <row r="15" spans="1:11" x14ac:dyDescent="0.25">
      <c r="A15" t="s">
        <v>691</v>
      </c>
      <c r="B15" t="s">
        <v>24</v>
      </c>
      <c r="C15" t="s">
        <v>42</v>
      </c>
      <c r="D15" t="s">
        <v>692</v>
      </c>
      <c r="E15" t="s">
        <v>34</v>
      </c>
      <c r="F15" t="s">
        <v>693</v>
      </c>
      <c r="G15" s="3">
        <v>45723</v>
      </c>
      <c r="H15" s="3">
        <v>46088</v>
      </c>
      <c r="I15" s="5">
        <v>1167.57</v>
      </c>
      <c r="J15" t="s">
        <v>23</v>
      </c>
      <c r="K15" t="str">
        <f ca="1">IF(TODAY()&gt;H15,"Expired","Active")</f>
        <v>Expired</v>
      </c>
    </row>
    <row r="16" spans="1:11" x14ac:dyDescent="0.25">
      <c r="A16" t="s">
        <v>694</v>
      </c>
      <c r="B16" t="s">
        <v>24</v>
      </c>
      <c r="C16" t="s">
        <v>72</v>
      </c>
      <c r="D16" t="s">
        <v>695</v>
      </c>
      <c r="E16" t="s">
        <v>34</v>
      </c>
      <c r="F16" t="s">
        <v>696</v>
      </c>
      <c r="G16" s="3">
        <v>46055</v>
      </c>
      <c r="H16" s="3">
        <v>46785</v>
      </c>
      <c r="I16" s="5">
        <v>1851.32</v>
      </c>
      <c r="J16" t="s">
        <v>19</v>
      </c>
      <c r="K16" t="str">
        <f ca="1">IF(TODAY()&gt;H16,"Expired","Active")</f>
        <v>Active</v>
      </c>
    </row>
    <row r="17" spans="1:11" x14ac:dyDescent="0.25">
      <c r="A17" t="s">
        <v>697</v>
      </c>
      <c r="B17" t="s">
        <v>24</v>
      </c>
      <c r="C17" t="s">
        <v>27</v>
      </c>
      <c r="D17" t="s">
        <v>698</v>
      </c>
      <c r="E17" t="s">
        <v>13</v>
      </c>
      <c r="F17" t="s">
        <v>699</v>
      </c>
      <c r="G17" s="3">
        <v>45670</v>
      </c>
      <c r="H17" s="3">
        <v>46400</v>
      </c>
      <c r="I17" s="5">
        <v>991.57</v>
      </c>
      <c r="J17" t="s">
        <v>23</v>
      </c>
      <c r="K17" t="str">
        <f ca="1">IF(TODAY()&gt;H17,"Expired","Active")</f>
        <v>Active</v>
      </c>
    </row>
    <row r="18" spans="1:11" x14ac:dyDescent="0.25">
      <c r="A18" t="s">
        <v>700</v>
      </c>
      <c r="B18" t="s">
        <v>11</v>
      </c>
      <c r="C18" t="s">
        <v>66</v>
      </c>
      <c r="D18" t="s">
        <v>701</v>
      </c>
      <c r="E18" t="s">
        <v>34</v>
      </c>
      <c r="F18" t="s">
        <v>702</v>
      </c>
      <c r="G18" s="3">
        <v>46058</v>
      </c>
      <c r="H18" s="3">
        <v>47154</v>
      </c>
      <c r="I18" s="5">
        <v>4111.38</v>
      </c>
      <c r="J18" t="s">
        <v>19</v>
      </c>
      <c r="K18" t="str">
        <f ca="1">IF(TODAY()&gt;H18,"Expired","Active")</f>
        <v>Active</v>
      </c>
    </row>
    <row r="19" spans="1:11" x14ac:dyDescent="0.25">
      <c r="A19" t="s">
        <v>703</v>
      </c>
      <c r="B19" t="s">
        <v>24</v>
      </c>
      <c r="C19" t="s">
        <v>53</v>
      </c>
      <c r="D19" t="s">
        <v>704</v>
      </c>
      <c r="E19" t="s">
        <v>13</v>
      </c>
      <c r="F19" t="s">
        <v>705</v>
      </c>
      <c r="G19" s="3">
        <v>45391</v>
      </c>
      <c r="H19" s="3">
        <v>46121</v>
      </c>
      <c r="I19" s="5">
        <v>1448.2</v>
      </c>
      <c r="J19" t="s">
        <v>19</v>
      </c>
      <c r="K19" t="str">
        <f ca="1">IF(TODAY()&gt;H19,"Expired","Active")</f>
        <v>Expired</v>
      </c>
    </row>
    <row r="20" spans="1:11" x14ac:dyDescent="0.25">
      <c r="A20" t="s">
        <v>706</v>
      </c>
      <c r="B20" t="s">
        <v>15</v>
      </c>
      <c r="C20" t="s">
        <v>40</v>
      </c>
      <c r="D20" t="s">
        <v>707</v>
      </c>
      <c r="E20" t="s">
        <v>17</v>
      </c>
      <c r="F20" t="s">
        <v>708</v>
      </c>
      <c r="G20" s="3">
        <v>45288</v>
      </c>
      <c r="H20" s="3">
        <v>46384</v>
      </c>
      <c r="I20" s="5">
        <v>684.42</v>
      </c>
      <c r="J20" t="s">
        <v>14</v>
      </c>
      <c r="K20" t="str">
        <f ca="1">IF(TODAY()&gt;H20,"Expired","Active")</f>
        <v>Active</v>
      </c>
    </row>
    <row r="21" spans="1:11" x14ac:dyDescent="0.25">
      <c r="A21" t="s">
        <v>709</v>
      </c>
      <c r="B21" t="s">
        <v>24</v>
      </c>
      <c r="C21" t="s">
        <v>25</v>
      </c>
      <c r="D21" t="s">
        <v>710</v>
      </c>
      <c r="E21" t="s">
        <v>39</v>
      </c>
      <c r="F21" t="s">
        <v>711</v>
      </c>
      <c r="G21" s="3">
        <v>45636</v>
      </c>
      <c r="H21" s="3">
        <v>46366</v>
      </c>
      <c r="I21" s="5">
        <v>1173.81</v>
      </c>
      <c r="J21" t="s">
        <v>23</v>
      </c>
      <c r="K21" t="str">
        <f ca="1">IF(TODAY()&gt;H21,"Expired","Active")</f>
        <v>Active</v>
      </c>
    </row>
    <row r="22" spans="1:11" x14ac:dyDescent="0.25">
      <c r="A22" t="s">
        <v>712</v>
      </c>
      <c r="B22" t="s">
        <v>15</v>
      </c>
      <c r="C22" t="s">
        <v>30</v>
      </c>
      <c r="D22" t="s">
        <v>713</v>
      </c>
      <c r="E22" t="s">
        <v>32</v>
      </c>
      <c r="F22" t="s">
        <v>565</v>
      </c>
      <c r="G22" s="3">
        <v>45770</v>
      </c>
      <c r="H22" s="3">
        <v>46135</v>
      </c>
      <c r="I22" s="5">
        <v>793.95</v>
      </c>
      <c r="J22" t="s">
        <v>19</v>
      </c>
      <c r="K22" t="str">
        <f ca="1">IF(TODAY()&gt;H22,"Expired","Active")</f>
        <v>Active</v>
      </c>
    </row>
    <row r="23" spans="1:11" x14ac:dyDescent="0.25">
      <c r="A23" t="s">
        <v>714</v>
      </c>
      <c r="B23" t="s">
        <v>15</v>
      </c>
      <c r="C23" t="s">
        <v>28</v>
      </c>
      <c r="D23" t="s">
        <v>715</v>
      </c>
      <c r="E23" t="s">
        <v>37</v>
      </c>
      <c r="F23" t="s">
        <v>716</v>
      </c>
      <c r="G23" s="3">
        <v>45137</v>
      </c>
      <c r="H23" s="3">
        <v>46233</v>
      </c>
      <c r="I23" s="5">
        <v>422.43</v>
      </c>
      <c r="J23" t="s">
        <v>19</v>
      </c>
      <c r="K23" t="str">
        <f ca="1">IF(TODAY()&gt;H23,"Expired","Active")</f>
        <v>Active</v>
      </c>
    </row>
    <row r="24" spans="1:11" x14ac:dyDescent="0.25">
      <c r="A24" t="s">
        <v>717</v>
      </c>
      <c r="B24" t="s">
        <v>26</v>
      </c>
      <c r="C24" t="s">
        <v>47</v>
      </c>
      <c r="D24" t="s">
        <v>718</v>
      </c>
      <c r="E24" t="s">
        <v>37</v>
      </c>
      <c r="F24" t="s">
        <v>45</v>
      </c>
      <c r="G24" s="3">
        <v>45094</v>
      </c>
      <c r="H24" s="3">
        <v>45825</v>
      </c>
      <c r="I24" s="5">
        <v>1036.68</v>
      </c>
      <c r="J24" t="s">
        <v>23</v>
      </c>
      <c r="K24" t="str">
        <f ca="1">IF(TODAY()&gt;H24,"Expired","Active")</f>
        <v>Expired</v>
      </c>
    </row>
    <row r="25" spans="1:11" x14ac:dyDescent="0.25">
      <c r="A25" t="s">
        <v>719</v>
      </c>
      <c r="B25" t="s">
        <v>11</v>
      </c>
      <c r="C25" t="s">
        <v>21</v>
      </c>
      <c r="D25" t="s">
        <v>720</v>
      </c>
      <c r="E25" t="s">
        <v>32</v>
      </c>
      <c r="F25" t="s">
        <v>721</v>
      </c>
      <c r="G25" s="3">
        <v>45972</v>
      </c>
      <c r="H25" s="3">
        <v>47068</v>
      </c>
      <c r="I25" s="5">
        <v>6354.33</v>
      </c>
      <c r="J25" t="s">
        <v>14</v>
      </c>
      <c r="K25" t="str">
        <f ca="1">IF(TODAY()&gt;H25,"Expired","Active")</f>
        <v>Active</v>
      </c>
    </row>
    <row r="26" spans="1:11" x14ac:dyDescent="0.25">
      <c r="A26" t="s">
        <v>722</v>
      </c>
      <c r="B26" t="s">
        <v>26</v>
      </c>
      <c r="C26" t="s">
        <v>38</v>
      </c>
      <c r="D26" t="s">
        <v>723</v>
      </c>
      <c r="E26" t="s">
        <v>17</v>
      </c>
      <c r="F26" t="s">
        <v>566</v>
      </c>
      <c r="G26" s="3">
        <v>45838</v>
      </c>
      <c r="H26" s="3">
        <v>46203</v>
      </c>
      <c r="I26" s="5">
        <v>932.76</v>
      </c>
      <c r="J26" t="s">
        <v>19</v>
      </c>
      <c r="K26" t="str">
        <f ca="1">IF(TODAY()&gt;H26,"Expired","Active")</f>
        <v>Active</v>
      </c>
    </row>
    <row r="27" spans="1:11" x14ac:dyDescent="0.25">
      <c r="A27" t="s">
        <v>724</v>
      </c>
      <c r="B27" t="s">
        <v>29</v>
      </c>
      <c r="C27" t="s">
        <v>53</v>
      </c>
      <c r="D27" t="s">
        <v>725</v>
      </c>
      <c r="E27" t="s">
        <v>34</v>
      </c>
      <c r="F27" t="s">
        <v>567</v>
      </c>
      <c r="G27" s="3">
        <v>45663</v>
      </c>
      <c r="H27" s="3">
        <v>46393</v>
      </c>
      <c r="I27" s="5">
        <v>8327.81</v>
      </c>
      <c r="J27" t="s">
        <v>35</v>
      </c>
      <c r="K27" t="str">
        <f ca="1">IF(TODAY()&gt;H27,"Expired","Active")</f>
        <v>Active</v>
      </c>
    </row>
    <row r="28" spans="1:11" x14ac:dyDescent="0.25">
      <c r="A28" t="s">
        <v>726</v>
      </c>
      <c r="B28" t="s">
        <v>24</v>
      </c>
      <c r="C28" t="s">
        <v>62</v>
      </c>
      <c r="D28" t="s">
        <v>727</v>
      </c>
      <c r="E28" t="s">
        <v>34</v>
      </c>
      <c r="F28" t="s">
        <v>728</v>
      </c>
      <c r="G28" s="3">
        <v>46076</v>
      </c>
      <c r="H28" s="3">
        <v>46806</v>
      </c>
      <c r="I28" s="5">
        <v>980.55</v>
      </c>
      <c r="J28" t="s">
        <v>14</v>
      </c>
      <c r="K28" t="str">
        <f ca="1">IF(TODAY()&gt;H28,"Expired","Active")</f>
        <v>Active</v>
      </c>
    </row>
    <row r="29" spans="1:11" x14ac:dyDescent="0.25">
      <c r="A29" t="s">
        <v>729</v>
      </c>
      <c r="B29" t="s">
        <v>26</v>
      </c>
      <c r="C29" t="s">
        <v>51</v>
      </c>
      <c r="D29" t="s">
        <v>730</v>
      </c>
      <c r="E29" t="s">
        <v>17</v>
      </c>
      <c r="F29" t="s">
        <v>731</v>
      </c>
      <c r="G29" s="3">
        <v>45401</v>
      </c>
      <c r="H29" s="3">
        <v>46496</v>
      </c>
      <c r="I29" s="5">
        <v>1171.81</v>
      </c>
      <c r="J29" t="s">
        <v>19</v>
      </c>
      <c r="K29" t="str">
        <f ca="1">IF(TODAY()&gt;H29,"Expired","Active")</f>
        <v>Active</v>
      </c>
    </row>
    <row r="30" spans="1:11" x14ac:dyDescent="0.25">
      <c r="A30" t="s">
        <v>732</v>
      </c>
      <c r="B30" t="s">
        <v>11</v>
      </c>
      <c r="C30" t="s">
        <v>44</v>
      </c>
      <c r="D30" t="s">
        <v>733</v>
      </c>
      <c r="E30" t="s">
        <v>39</v>
      </c>
      <c r="F30" t="s">
        <v>734</v>
      </c>
      <c r="G30" s="3">
        <v>45401</v>
      </c>
      <c r="H30" s="3">
        <v>45766</v>
      </c>
      <c r="I30" s="5">
        <v>6058.57</v>
      </c>
      <c r="J30" t="s">
        <v>35</v>
      </c>
      <c r="K30" t="str">
        <f ca="1">IF(TODAY()&gt;H30,"Expired","Active")</f>
        <v>Expired</v>
      </c>
    </row>
    <row r="31" spans="1:11" x14ac:dyDescent="0.25">
      <c r="A31" t="s">
        <v>735</v>
      </c>
      <c r="B31" t="s">
        <v>24</v>
      </c>
      <c r="C31" t="s">
        <v>58</v>
      </c>
      <c r="D31" t="s">
        <v>736</v>
      </c>
      <c r="E31" t="s">
        <v>22</v>
      </c>
      <c r="F31" t="s">
        <v>737</v>
      </c>
      <c r="G31" s="3">
        <v>45488</v>
      </c>
      <c r="H31" s="3">
        <v>46218</v>
      </c>
      <c r="I31" s="5">
        <v>888.42</v>
      </c>
      <c r="J31" t="s">
        <v>23</v>
      </c>
      <c r="K31" t="str">
        <f ca="1">IF(TODAY()&gt;H31,"Expired","Active")</f>
        <v>Active</v>
      </c>
    </row>
    <row r="32" spans="1:11" x14ac:dyDescent="0.25">
      <c r="A32" t="s">
        <v>738</v>
      </c>
      <c r="B32" t="s">
        <v>29</v>
      </c>
      <c r="C32" t="s">
        <v>68</v>
      </c>
      <c r="D32" t="s">
        <v>739</v>
      </c>
      <c r="E32" t="s">
        <v>39</v>
      </c>
      <c r="F32" t="s">
        <v>740</v>
      </c>
      <c r="G32" s="3">
        <v>45923</v>
      </c>
      <c r="H32" s="3">
        <v>47019</v>
      </c>
      <c r="I32" s="5">
        <v>9631.16</v>
      </c>
      <c r="J32" t="s">
        <v>23</v>
      </c>
      <c r="K32" t="str">
        <f ca="1">IF(TODAY()&gt;H32,"Expired","Active")</f>
        <v>Active</v>
      </c>
    </row>
    <row r="33" spans="1:11" x14ac:dyDescent="0.25">
      <c r="A33" t="s">
        <v>741</v>
      </c>
      <c r="B33" t="s">
        <v>20</v>
      </c>
      <c r="C33" t="s">
        <v>41</v>
      </c>
      <c r="D33" t="s">
        <v>742</v>
      </c>
      <c r="E33" t="s">
        <v>39</v>
      </c>
      <c r="F33" t="s">
        <v>743</v>
      </c>
      <c r="G33" s="3">
        <v>45892</v>
      </c>
      <c r="H33" s="3">
        <v>46257</v>
      </c>
      <c r="I33" s="5">
        <v>1998.12</v>
      </c>
      <c r="J33" t="s">
        <v>14</v>
      </c>
      <c r="K33" t="str">
        <f ca="1">IF(TODAY()&gt;H33,"Expired","Active")</f>
        <v>Active</v>
      </c>
    </row>
    <row r="34" spans="1:11" x14ac:dyDescent="0.25">
      <c r="A34" t="s">
        <v>744</v>
      </c>
      <c r="B34" t="s">
        <v>29</v>
      </c>
      <c r="C34" t="s">
        <v>41</v>
      </c>
      <c r="D34" t="s">
        <v>745</v>
      </c>
      <c r="E34" t="s">
        <v>34</v>
      </c>
      <c r="F34" t="s">
        <v>54</v>
      </c>
      <c r="G34" s="3">
        <v>46008</v>
      </c>
      <c r="H34" s="3">
        <v>46373</v>
      </c>
      <c r="I34" s="5">
        <v>8679.08</v>
      </c>
      <c r="J34" t="s">
        <v>23</v>
      </c>
      <c r="K34" t="str">
        <f ca="1">IF(TODAY()&gt;H34,"Expired","Active")</f>
        <v>Active</v>
      </c>
    </row>
    <row r="35" spans="1:11" x14ac:dyDescent="0.25">
      <c r="A35" t="s">
        <v>746</v>
      </c>
      <c r="B35" t="s">
        <v>11</v>
      </c>
      <c r="C35" t="s">
        <v>65</v>
      </c>
      <c r="D35" t="s">
        <v>747</v>
      </c>
      <c r="E35" t="s">
        <v>37</v>
      </c>
      <c r="F35" t="s">
        <v>748</v>
      </c>
      <c r="G35" s="3">
        <v>45443</v>
      </c>
      <c r="H35" s="3">
        <v>46538</v>
      </c>
      <c r="I35" s="5">
        <v>3175.51</v>
      </c>
      <c r="J35" t="s">
        <v>23</v>
      </c>
      <c r="K35" t="str">
        <f ca="1">IF(TODAY()&gt;H35,"Expired","Active")</f>
        <v>Active</v>
      </c>
    </row>
    <row r="36" spans="1:11" x14ac:dyDescent="0.25">
      <c r="A36" t="s">
        <v>749</v>
      </c>
      <c r="B36" t="s">
        <v>29</v>
      </c>
      <c r="C36" t="s">
        <v>69</v>
      </c>
      <c r="D36" t="s">
        <v>750</v>
      </c>
      <c r="E36" t="s">
        <v>13</v>
      </c>
      <c r="F36" t="s">
        <v>751</v>
      </c>
      <c r="G36" s="3">
        <v>45063</v>
      </c>
      <c r="H36" s="3">
        <v>45429</v>
      </c>
      <c r="I36" s="5">
        <v>4755.7</v>
      </c>
      <c r="J36" t="s">
        <v>19</v>
      </c>
      <c r="K36" t="str">
        <f ca="1">IF(TODAY()&gt;H36,"Expired","Active")</f>
        <v>Expired</v>
      </c>
    </row>
    <row r="37" spans="1:11" x14ac:dyDescent="0.25">
      <c r="A37" t="s">
        <v>568</v>
      </c>
      <c r="B37" t="s">
        <v>26</v>
      </c>
      <c r="C37" t="s">
        <v>53</v>
      </c>
      <c r="D37" t="s">
        <v>752</v>
      </c>
      <c r="E37" t="s">
        <v>32</v>
      </c>
      <c r="F37" t="s">
        <v>753</v>
      </c>
      <c r="G37" s="3">
        <v>46073</v>
      </c>
      <c r="H37" s="3">
        <v>47169</v>
      </c>
      <c r="I37" s="5">
        <v>1148.06</v>
      </c>
      <c r="J37" t="s">
        <v>35</v>
      </c>
      <c r="K37" t="str">
        <f ca="1">IF(TODAY()&gt;H37,"Expired","Active")</f>
        <v>Active</v>
      </c>
    </row>
    <row r="38" spans="1:11" x14ac:dyDescent="0.25">
      <c r="A38" t="s">
        <v>754</v>
      </c>
      <c r="B38" t="s">
        <v>24</v>
      </c>
      <c r="C38" t="s">
        <v>48</v>
      </c>
      <c r="D38" t="s">
        <v>755</v>
      </c>
      <c r="E38" t="s">
        <v>34</v>
      </c>
      <c r="F38" t="s">
        <v>756</v>
      </c>
      <c r="G38" s="3">
        <v>45650</v>
      </c>
      <c r="H38" s="3">
        <v>46380</v>
      </c>
      <c r="I38" s="5">
        <v>1644.81</v>
      </c>
      <c r="J38" t="s">
        <v>35</v>
      </c>
      <c r="K38" t="str">
        <f ca="1">IF(TODAY()&gt;H38,"Expired","Active")</f>
        <v>Active</v>
      </c>
    </row>
    <row r="39" spans="1:11" x14ac:dyDescent="0.25">
      <c r="A39" t="s">
        <v>757</v>
      </c>
      <c r="B39" t="s">
        <v>20</v>
      </c>
      <c r="C39" t="s">
        <v>60</v>
      </c>
      <c r="D39" t="s">
        <v>758</v>
      </c>
      <c r="E39" t="s">
        <v>37</v>
      </c>
      <c r="F39" t="s">
        <v>759</v>
      </c>
      <c r="G39" s="3">
        <v>45233</v>
      </c>
      <c r="H39" s="3">
        <v>45599</v>
      </c>
      <c r="I39" s="5">
        <v>966.88</v>
      </c>
      <c r="J39" t="s">
        <v>19</v>
      </c>
      <c r="K39" t="str">
        <f ca="1">IF(TODAY()&gt;H39,"Expired","Active")</f>
        <v>Expired</v>
      </c>
    </row>
    <row r="40" spans="1:11" x14ac:dyDescent="0.25">
      <c r="A40" t="s">
        <v>760</v>
      </c>
      <c r="B40" t="s">
        <v>26</v>
      </c>
      <c r="C40" t="s">
        <v>49</v>
      </c>
      <c r="D40" t="s">
        <v>761</v>
      </c>
      <c r="E40" t="s">
        <v>34</v>
      </c>
      <c r="F40" t="s">
        <v>762</v>
      </c>
      <c r="G40" s="3">
        <v>45494</v>
      </c>
      <c r="H40" s="3">
        <v>46589</v>
      </c>
      <c r="I40" s="5">
        <v>627.07000000000005</v>
      </c>
      <c r="J40" t="s">
        <v>14</v>
      </c>
      <c r="K40" t="str">
        <f ca="1">IF(TODAY()&gt;H40,"Expired","Active")</f>
        <v>Active</v>
      </c>
    </row>
    <row r="41" spans="1:11" x14ac:dyDescent="0.25">
      <c r="A41" t="s">
        <v>763</v>
      </c>
      <c r="B41" t="s">
        <v>20</v>
      </c>
      <c r="C41" t="s">
        <v>44</v>
      </c>
      <c r="D41" t="s">
        <v>764</v>
      </c>
      <c r="E41" t="s">
        <v>13</v>
      </c>
      <c r="F41" t="s">
        <v>765</v>
      </c>
      <c r="G41" s="3">
        <v>45319</v>
      </c>
      <c r="H41" s="3">
        <v>46050</v>
      </c>
      <c r="I41" s="5">
        <v>1352.94</v>
      </c>
      <c r="J41" t="s">
        <v>19</v>
      </c>
      <c r="K41" t="str">
        <f ca="1">IF(TODAY()&gt;H41,"Expired","Active")</f>
        <v>Expired</v>
      </c>
    </row>
    <row r="42" spans="1:11" x14ac:dyDescent="0.25">
      <c r="A42" t="s">
        <v>766</v>
      </c>
      <c r="B42" t="s">
        <v>24</v>
      </c>
      <c r="C42" t="s">
        <v>16</v>
      </c>
      <c r="D42" t="s">
        <v>767</v>
      </c>
      <c r="E42" t="s">
        <v>37</v>
      </c>
      <c r="F42" t="s">
        <v>768</v>
      </c>
      <c r="G42" s="3">
        <v>45652</v>
      </c>
      <c r="H42" s="3">
        <v>46747</v>
      </c>
      <c r="I42" s="5">
        <v>1053.07</v>
      </c>
      <c r="J42" t="s">
        <v>23</v>
      </c>
      <c r="K42" t="str">
        <f ca="1">IF(TODAY()&gt;H42,"Expired","Active")</f>
        <v>Active</v>
      </c>
    </row>
    <row r="43" spans="1:11" x14ac:dyDescent="0.25">
      <c r="A43" t="s">
        <v>769</v>
      </c>
      <c r="B43" t="s">
        <v>24</v>
      </c>
      <c r="C43" t="s">
        <v>55</v>
      </c>
      <c r="D43" t="s">
        <v>770</v>
      </c>
      <c r="E43" t="s">
        <v>39</v>
      </c>
      <c r="F43" t="s">
        <v>771</v>
      </c>
      <c r="G43" s="3">
        <v>45198</v>
      </c>
      <c r="H43" s="3">
        <v>45564</v>
      </c>
      <c r="I43" s="5">
        <v>1528.89</v>
      </c>
      <c r="J43" t="s">
        <v>35</v>
      </c>
      <c r="K43" t="str">
        <f ca="1">IF(TODAY()&gt;H43,"Expired","Active")</f>
        <v>Expired</v>
      </c>
    </row>
    <row r="44" spans="1:11" x14ac:dyDescent="0.25">
      <c r="A44" t="s">
        <v>772</v>
      </c>
      <c r="B44" t="s">
        <v>11</v>
      </c>
      <c r="C44" t="s">
        <v>53</v>
      </c>
      <c r="D44" t="s">
        <v>773</v>
      </c>
      <c r="E44" t="s">
        <v>13</v>
      </c>
      <c r="F44" t="s">
        <v>774</v>
      </c>
      <c r="G44" s="3">
        <v>46036</v>
      </c>
      <c r="H44" s="3">
        <v>46766</v>
      </c>
      <c r="I44" s="5">
        <v>3242.82</v>
      </c>
      <c r="J44" t="s">
        <v>23</v>
      </c>
      <c r="K44" t="str">
        <f ca="1">IF(TODAY()&gt;H44,"Expired","Active")</f>
        <v>Active</v>
      </c>
    </row>
    <row r="45" spans="1:11" x14ac:dyDescent="0.25">
      <c r="A45" t="s">
        <v>775</v>
      </c>
      <c r="B45" t="s">
        <v>15</v>
      </c>
      <c r="C45" t="s">
        <v>50</v>
      </c>
      <c r="D45" t="s">
        <v>776</v>
      </c>
      <c r="E45" t="s">
        <v>39</v>
      </c>
      <c r="F45" t="s">
        <v>57</v>
      </c>
      <c r="G45" s="3">
        <v>45378</v>
      </c>
      <c r="H45" s="3">
        <v>46473</v>
      </c>
      <c r="I45" s="5">
        <v>1120.25</v>
      </c>
      <c r="J45" t="s">
        <v>14</v>
      </c>
      <c r="K45" t="str">
        <f ca="1">IF(TODAY()&gt;H45,"Expired","Active")</f>
        <v>Active</v>
      </c>
    </row>
    <row r="46" spans="1:11" x14ac:dyDescent="0.25">
      <c r="A46" t="s">
        <v>777</v>
      </c>
      <c r="B46" t="s">
        <v>26</v>
      </c>
      <c r="C46" t="s">
        <v>49</v>
      </c>
      <c r="D46" t="s">
        <v>778</v>
      </c>
      <c r="E46" t="s">
        <v>17</v>
      </c>
      <c r="F46" t="s">
        <v>779</v>
      </c>
      <c r="G46" s="3">
        <v>45253</v>
      </c>
      <c r="H46" s="3">
        <v>45984</v>
      </c>
      <c r="I46" s="5">
        <v>937.43</v>
      </c>
      <c r="J46" t="s">
        <v>23</v>
      </c>
      <c r="K46" t="str">
        <f ca="1">IF(TODAY()&gt;H46,"Expired","Active")</f>
        <v>Expired</v>
      </c>
    </row>
    <row r="47" spans="1:11" x14ac:dyDescent="0.25">
      <c r="A47" t="s">
        <v>780</v>
      </c>
      <c r="B47" t="s">
        <v>20</v>
      </c>
      <c r="C47" t="s">
        <v>41</v>
      </c>
      <c r="D47" t="s">
        <v>781</v>
      </c>
      <c r="E47" t="s">
        <v>22</v>
      </c>
      <c r="F47" t="s">
        <v>569</v>
      </c>
      <c r="G47" s="3">
        <v>45614</v>
      </c>
      <c r="H47" s="3">
        <v>46709</v>
      </c>
      <c r="I47" s="5">
        <v>1997.72</v>
      </c>
      <c r="J47" t="s">
        <v>19</v>
      </c>
      <c r="K47" t="str">
        <f ca="1">IF(TODAY()&gt;H47,"Expired","Active")</f>
        <v>Active</v>
      </c>
    </row>
    <row r="48" spans="1:11" x14ac:dyDescent="0.25">
      <c r="A48" t="s">
        <v>782</v>
      </c>
      <c r="B48" t="s">
        <v>29</v>
      </c>
      <c r="C48" t="s">
        <v>48</v>
      </c>
      <c r="D48" t="s">
        <v>783</v>
      </c>
      <c r="E48" t="s">
        <v>37</v>
      </c>
      <c r="F48" t="s">
        <v>784</v>
      </c>
      <c r="G48" s="3">
        <v>46082</v>
      </c>
      <c r="H48" s="3">
        <v>46447</v>
      </c>
      <c r="I48" s="5">
        <v>10562.6</v>
      </c>
      <c r="J48" t="s">
        <v>35</v>
      </c>
      <c r="K48" t="str">
        <f ca="1">IF(TODAY()&gt;H48,"Expired","Active")</f>
        <v>Active</v>
      </c>
    </row>
    <row r="49" spans="1:11" x14ac:dyDescent="0.25">
      <c r="A49" t="s">
        <v>785</v>
      </c>
      <c r="B49" t="s">
        <v>29</v>
      </c>
      <c r="C49" t="s">
        <v>51</v>
      </c>
      <c r="D49" t="s">
        <v>786</v>
      </c>
      <c r="E49" t="s">
        <v>17</v>
      </c>
      <c r="F49" t="s">
        <v>787</v>
      </c>
      <c r="G49" s="3">
        <v>45151</v>
      </c>
      <c r="H49" s="3">
        <v>46247</v>
      </c>
      <c r="I49" s="5">
        <v>10536.16</v>
      </c>
      <c r="J49" t="s">
        <v>23</v>
      </c>
      <c r="K49" t="str">
        <f ca="1">IF(TODAY()&gt;H49,"Expired","Active")</f>
        <v>Active</v>
      </c>
    </row>
    <row r="50" spans="1:11" x14ac:dyDescent="0.25">
      <c r="A50" t="s">
        <v>788</v>
      </c>
      <c r="B50" t="s">
        <v>11</v>
      </c>
      <c r="C50" t="s">
        <v>50</v>
      </c>
      <c r="D50" t="s">
        <v>789</v>
      </c>
      <c r="E50" t="s">
        <v>22</v>
      </c>
      <c r="F50" t="s">
        <v>790</v>
      </c>
      <c r="G50" s="3">
        <v>45757</v>
      </c>
      <c r="H50" s="3">
        <v>46122</v>
      </c>
      <c r="I50" s="5">
        <v>2729.97</v>
      </c>
      <c r="J50" t="s">
        <v>23</v>
      </c>
      <c r="K50" t="str">
        <f ca="1">IF(TODAY()&gt;H50,"Expired","Active")</f>
        <v>Expired</v>
      </c>
    </row>
    <row r="51" spans="1:11" x14ac:dyDescent="0.25">
      <c r="A51" t="s">
        <v>791</v>
      </c>
      <c r="B51" t="s">
        <v>20</v>
      </c>
      <c r="C51" t="s">
        <v>48</v>
      </c>
      <c r="D51" t="s">
        <v>792</v>
      </c>
      <c r="E51" t="s">
        <v>22</v>
      </c>
      <c r="F51" t="s">
        <v>793</v>
      </c>
      <c r="G51" s="3">
        <v>45718</v>
      </c>
      <c r="H51" s="3">
        <v>46083</v>
      </c>
      <c r="I51" s="5">
        <v>1065.05</v>
      </c>
      <c r="J51" t="s">
        <v>14</v>
      </c>
      <c r="K51" t="str">
        <f ca="1">IF(TODAY()&gt;H51,"Expired","Active")</f>
        <v>Expired</v>
      </c>
    </row>
    <row r="52" spans="1:11" x14ac:dyDescent="0.25">
      <c r="A52" t="s">
        <v>59</v>
      </c>
      <c r="B52" t="s">
        <v>15</v>
      </c>
      <c r="C52" t="s">
        <v>40</v>
      </c>
      <c r="D52" t="s">
        <v>794</v>
      </c>
      <c r="E52" t="s">
        <v>37</v>
      </c>
      <c r="F52" t="s">
        <v>795</v>
      </c>
      <c r="G52" s="3">
        <v>45784</v>
      </c>
      <c r="H52" s="3">
        <v>46149</v>
      </c>
      <c r="I52" s="5">
        <v>1051.54</v>
      </c>
      <c r="J52" t="s">
        <v>19</v>
      </c>
      <c r="K52" t="str">
        <f ca="1">IF(TODAY()&gt;H52,"Expired","Active")</f>
        <v>Active</v>
      </c>
    </row>
    <row r="53" spans="1:11" x14ac:dyDescent="0.25">
      <c r="A53" t="s">
        <v>796</v>
      </c>
      <c r="B53" t="s">
        <v>29</v>
      </c>
      <c r="C53" t="s">
        <v>36</v>
      </c>
      <c r="D53" t="s">
        <v>797</v>
      </c>
      <c r="E53" t="s">
        <v>13</v>
      </c>
      <c r="F53" t="s">
        <v>798</v>
      </c>
      <c r="G53" s="3">
        <v>45059</v>
      </c>
      <c r="H53" s="3">
        <v>46155</v>
      </c>
      <c r="I53" s="5">
        <v>8094.13</v>
      </c>
      <c r="J53" t="s">
        <v>35</v>
      </c>
      <c r="K53" t="str">
        <f ca="1">IF(TODAY()&gt;H53,"Expired","Active")</f>
        <v>Active</v>
      </c>
    </row>
    <row r="54" spans="1:11" x14ac:dyDescent="0.25">
      <c r="A54" t="s">
        <v>799</v>
      </c>
      <c r="B54" t="s">
        <v>20</v>
      </c>
      <c r="C54" t="s">
        <v>43</v>
      </c>
      <c r="D54" t="s">
        <v>800</v>
      </c>
      <c r="E54" t="s">
        <v>32</v>
      </c>
      <c r="F54" t="s">
        <v>801</v>
      </c>
      <c r="G54" s="3">
        <v>45666</v>
      </c>
      <c r="H54" s="3">
        <v>46761</v>
      </c>
      <c r="I54" s="5">
        <v>1304.6300000000001</v>
      </c>
      <c r="J54" t="s">
        <v>35</v>
      </c>
      <c r="K54" t="str">
        <f ca="1">IF(TODAY()&gt;H54,"Expired","Active")</f>
        <v>Active</v>
      </c>
    </row>
    <row r="55" spans="1:11" x14ac:dyDescent="0.25">
      <c r="A55" t="s">
        <v>802</v>
      </c>
      <c r="B55" t="s">
        <v>26</v>
      </c>
      <c r="C55" t="s">
        <v>66</v>
      </c>
      <c r="D55" t="s">
        <v>803</v>
      </c>
      <c r="E55" t="s">
        <v>17</v>
      </c>
      <c r="F55" t="s">
        <v>804</v>
      </c>
      <c r="G55" s="3">
        <v>45739</v>
      </c>
      <c r="H55" s="3">
        <v>46835</v>
      </c>
      <c r="I55" s="5">
        <v>601.71</v>
      </c>
      <c r="J55" t="s">
        <v>19</v>
      </c>
      <c r="K55" t="str">
        <f ca="1">IF(TODAY()&gt;H55,"Expired","Active")</f>
        <v>Active</v>
      </c>
    </row>
    <row r="56" spans="1:11" x14ac:dyDescent="0.25">
      <c r="A56" t="s">
        <v>805</v>
      </c>
      <c r="B56" t="s">
        <v>29</v>
      </c>
      <c r="C56" t="s">
        <v>27</v>
      </c>
      <c r="D56" t="s">
        <v>806</v>
      </c>
      <c r="E56" t="s">
        <v>39</v>
      </c>
      <c r="F56" t="s">
        <v>807</v>
      </c>
      <c r="G56" s="3">
        <v>45971</v>
      </c>
      <c r="H56" s="3">
        <v>46701</v>
      </c>
      <c r="I56" s="5">
        <v>6411.8</v>
      </c>
      <c r="J56" t="s">
        <v>14</v>
      </c>
      <c r="K56" t="str">
        <f ca="1">IF(TODAY()&gt;H56,"Expired","Active")</f>
        <v>Active</v>
      </c>
    </row>
    <row r="57" spans="1:11" x14ac:dyDescent="0.25">
      <c r="A57" t="s">
        <v>808</v>
      </c>
      <c r="B57" t="s">
        <v>24</v>
      </c>
      <c r="C57" t="s">
        <v>44</v>
      </c>
      <c r="D57" t="s">
        <v>809</v>
      </c>
      <c r="E57" t="s">
        <v>37</v>
      </c>
      <c r="F57" t="s">
        <v>810</v>
      </c>
      <c r="G57" s="3">
        <v>45652</v>
      </c>
      <c r="H57" s="3">
        <v>46747</v>
      </c>
      <c r="I57" s="5">
        <v>895.2</v>
      </c>
      <c r="J57" t="s">
        <v>19</v>
      </c>
      <c r="K57" t="str">
        <f ca="1">IF(TODAY()&gt;H57,"Expired","Active")</f>
        <v>Active</v>
      </c>
    </row>
    <row r="58" spans="1:11" x14ac:dyDescent="0.25">
      <c r="A58" t="s">
        <v>811</v>
      </c>
      <c r="B58" t="s">
        <v>24</v>
      </c>
      <c r="C58" t="s">
        <v>60</v>
      </c>
      <c r="D58" t="s">
        <v>812</v>
      </c>
      <c r="E58" t="s">
        <v>17</v>
      </c>
      <c r="F58" t="s">
        <v>813</v>
      </c>
      <c r="G58" s="3">
        <v>45375</v>
      </c>
      <c r="H58" s="3">
        <v>46105</v>
      </c>
      <c r="I58" s="5">
        <v>1093.04</v>
      </c>
      <c r="J58" t="s">
        <v>35</v>
      </c>
      <c r="K58" t="str">
        <f ca="1">IF(TODAY()&gt;H58,"Expired","Active")</f>
        <v>Expired</v>
      </c>
    </row>
    <row r="59" spans="1:11" x14ac:dyDescent="0.25">
      <c r="A59" t="s">
        <v>814</v>
      </c>
      <c r="B59" t="s">
        <v>20</v>
      </c>
      <c r="C59" t="s">
        <v>66</v>
      </c>
      <c r="D59" t="s">
        <v>815</v>
      </c>
      <c r="E59" t="s">
        <v>13</v>
      </c>
      <c r="F59" t="s">
        <v>61</v>
      </c>
      <c r="G59" s="3">
        <v>45381</v>
      </c>
      <c r="H59" s="3">
        <v>45746</v>
      </c>
      <c r="I59" s="5">
        <v>1284.95</v>
      </c>
      <c r="J59" t="s">
        <v>35</v>
      </c>
      <c r="K59" t="str">
        <f ca="1">IF(TODAY()&gt;H59,"Expired","Active")</f>
        <v>Expired</v>
      </c>
    </row>
    <row r="60" spans="1:11" x14ac:dyDescent="0.25">
      <c r="A60" t="s">
        <v>816</v>
      </c>
      <c r="B60" t="s">
        <v>26</v>
      </c>
      <c r="C60" t="s">
        <v>65</v>
      </c>
      <c r="D60" t="s">
        <v>817</v>
      </c>
      <c r="E60" t="s">
        <v>17</v>
      </c>
      <c r="F60" t="s">
        <v>818</v>
      </c>
      <c r="G60" s="3">
        <v>45596</v>
      </c>
      <c r="H60" s="3">
        <v>45961</v>
      </c>
      <c r="I60" s="5">
        <v>755.6</v>
      </c>
      <c r="J60" t="s">
        <v>23</v>
      </c>
      <c r="K60" t="str">
        <f ca="1">IF(TODAY()&gt;H60,"Expired","Active")</f>
        <v>Expired</v>
      </c>
    </row>
    <row r="61" spans="1:11" x14ac:dyDescent="0.25">
      <c r="A61" t="s">
        <v>819</v>
      </c>
      <c r="B61" t="s">
        <v>26</v>
      </c>
      <c r="C61" t="s">
        <v>38</v>
      </c>
      <c r="D61" t="s">
        <v>820</v>
      </c>
      <c r="E61" t="s">
        <v>17</v>
      </c>
      <c r="F61" t="s">
        <v>63</v>
      </c>
      <c r="G61" s="3">
        <v>45954</v>
      </c>
      <c r="H61" s="3">
        <v>46319</v>
      </c>
      <c r="I61" s="5">
        <v>629.45000000000005</v>
      </c>
      <c r="J61" t="s">
        <v>23</v>
      </c>
      <c r="K61" t="str">
        <f ca="1">IF(TODAY()&gt;H61,"Expired","Active")</f>
        <v>Active</v>
      </c>
    </row>
    <row r="62" spans="1:11" x14ac:dyDescent="0.25">
      <c r="A62" t="s">
        <v>821</v>
      </c>
      <c r="B62" t="s">
        <v>15</v>
      </c>
      <c r="C62" t="s">
        <v>52</v>
      </c>
      <c r="D62" t="s">
        <v>822</v>
      </c>
      <c r="E62" t="s">
        <v>22</v>
      </c>
      <c r="F62" t="s">
        <v>823</v>
      </c>
      <c r="G62" s="3">
        <v>45042</v>
      </c>
      <c r="H62" s="3">
        <v>45773</v>
      </c>
      <c r="I62" s="5">
        <v>762.21</v>
      </c>
      <c r="J62" t="s">
        <v>19</v>
      </c>
      <c r="K62" t="str">
        <f ca="1">IF(TODAY()&gt;H62,"Expired","Active")</f>
        <v>Expired</v>
      </c>
    </row>
    <row r="63" spans="1:11" x14ac:dyDescent="0.25">
      <c r="A63" t="s">
        <v>824</v>
      </c>
      <c r="B63" t="s">
        <v>29</v>
      </c>
      <c r="C63" t="s">
        <v>21</v>
      </c>
      <c r="D63" t="s">
        <v>825</v>
      </c>
      <c r="E63" t="s">
        <v>13</v>
      </c>
      <c r="F63" t="s">
        <v>826</v>
      </c>
      <c r="G63" s="3">
        <v>45310</v>
      </c>
      <c r="H63" s="3">
        <v>46041</v>
      </c>
      <c r="I63" s="5">
        <v>8167.73</v>
      </c>
      <c r="J63" t="s">
        <v>23</v>
      </c>
      <c r="K63" t="str">
        <f ca="1">IF(TODAY()&gt;H63,"Expired","Active")</f>
        <v>Expired</v>
      </c>
    </row>
    <row r="64" spans="1:11" x14ac:dyDescent="0.25">
      <c r="A64" t="s">
        <v>827</v>
      </c>
      <c r="B64" t="s">
        <v>11</v>
      </c>
      <c r="C64" t="s">
        <v>36</v>
      </c>
      <c r="D64" t="s">
        <v>828</v>
      </c>
      <c r="E64" t="s">
        <v>17</v>
      </c>
      <c r="F64" t="s">
        <v>570</v>
      </c>
      <c r="G64" s="3">
        <v>45485</v>
      </c>
      <c r="H64" s="3">
        <v>45850</v>
      </c>
      <c r="I64" s="5">
        <v>6193.35</v>
      </c>
      <c r="J64" t="s">
        <v>23</v>
      </c>
      <c r="K64" t="str">
        <f ca="1">IF(TODAY()&gt;H64,"Expired","Active")</f>
        <v>Expired</v>
      </c>
    </row>
    <row r="65" spans="1:11" x14ac:dyDescent="0.25">
      <c r="A65" t="s">
        <v>829</v>
      </c>
      <c r="B65" t="s">
        <v>24</v>
      </c>
      <c r="C65" t="s">
        <v>49</v>
      </c>
      <c r="D65" t="s">
        <v>830</v>
      </c>
      <c r="E65" t="s">
        <v>39</v>
      </c>
      <c r="F65" t="s">
        <v>831</v>
      </c>
      <c r="G65" s="3">
        <v>45906</v>
      </c>
      <c r="H65" s="3">
        <v>47002</v>
      </c>
      <c r="I65" s="5">
        <v>1505.67</v>
      </c>
      <c r="J65" t="s">
        <v>14</v>
      </c>
      <c r="K65" t="str">
        <f ca="1">IF(TODAY()&gt;H65,"Expired","Active")</f>
        <v>Active</v>
      </c>
    </row>
    <row r="66" spans="1:11" x14ac:dyDescent="0.25">
      <c r="A66" t="s">
        <v>832</v>
      </c>
      <c r="B66" t="s">
        <v>26</v>
      </c>
      <c r="C66" t="s">
        <v>25</v>
      </c>
      <c r="D66" t="s">
        <v>833</v>
      </c>
      <c r="E66" t="s">
        <v>22</v>
      </c>
      <c r="F66" t="s">
        <v>64</v>
      </c>
      <c r="G66" s="3">
        <v>45456</v>
      </c>
      <c r="H66" s="3">
        <v>46551</v>
      </c>
      <c r="I66" s="5">
        <v>1012.58</v>
      </c>
      <c r="J66" t="s">
        <v>19</v>
      </c>
      <c r="K66" t="str">
        <f ca="1">IF(TODAY()&gt;H66,"Expired","Active")</f>
        <v>Active</v>
      </c>
    </row>
    <row r="67" spans="1:11" x14ac:dyDescent="0.25">
      <c r="A67" t="s">
        <v>834</v>
      </c>
      <c r="B67" t="s">
        <v>11</v>
      </c>
      <c r="C67" t="s">
        <v>46</v>
      </c>
      <c r="D67" t="s">
        <v>835</v>
      </c>
      <c r="E67" t="s">
        <v>17</v>
      </c>
      <c r="F67" t="s">
        <v>836</v>
      </c>
      <c r="G67" s="3">
        <v>45082</v>
      </c>
      <c r="H67" s="3">
        <v>45813</v>
      </c>
      <c r="I67" s="5">
        <v>6069.43</v>
      </c>
      <c r="J67" t="s">
        <v>35</v>
      </c>
      <c r="K67" t="str">
        <f ca="1">IF(TODAY()&gt;H67,"Expired","Active")</f>
        <v>Expired</v>
      </c>
    </row>
    <row r="68" spans="1:11" x14ac:dyDescent="0.25">
      <c r="A68" t="s">
        <v>837</v>
      </c>
      <c r="B68" t="s">
        <v>15</v>
      </c>
      <c r="C68" t="s">
        <v>28</v>
      </c>
      <c r="D68" t="s">
        <v>838</v>
      </c>
      <c r="E68" t="s">
        <v>34</v>
      </c>
      <c r="F68" t="s">
        <v>839</v>
      </c>
      <c r="G68" s="3">
        <v>45239</v>
      </c>
      <c r="H68" s="3">
        <v>45970</v>
      </c>
      <c r="I68" s="5">
        <v>802.95</v>
      </c>
      <c r="J68" t="s">
        <v>14</v>
      </c>
      <c r="K68" t="str">
        <f ca="1">IF(TODAY()&gt;H68,"Expired","Active")</f>
        <v>Expired</v>
      </c>
    </row>
    <row r="69" spans="1:11" x14ac:dyDescent="0.25">
      <c r="A69" t="s">
        <v>840</v>
      </c>
      <c r="B69" t="s">
        <v>11</v>
      </c>
      <c r="C69" t="s">
        <v>36</v>
      </c>
      <c r="D69" t="s">
        <v>841</v>
      </c>
      <c r="E69" t="s">
        <v>39</v>
      </c>
      <c r="F69" t="s">
        <v>842</v>
      </c>
      <c r="G69" s="3">
        <v>45257</v>
      </c>
      <c r="H69" s="3">
        <v>45623</v>
      </c>
      <c r="I69" s="5">
        <v>3958.25</v>
      </c>
      <c r="J69" t="s">
        <v>23</v>
      </c>
      <c r="K69" t="str">
        <f ca="1">IF(TODAY()&gt;H69,"Expired","Active")</f>
        <v>Expired</v>
      </c>
    </row>
    <row r="70" spans="1:11" x14ac:dyDescent="0.25">
      <c r="A70" t="s">
        <v>843</v>
      </c>
      <c r="B70" t="s">
        <v>11</v>
      </c>
      <c r="C70" t="s">
        <v>46</v>
      </c>
      <c r="D70" t="s">
        <v>844</v>
      </c>
      <c r="E70" t="s">
        <v>34</v>
      </c>
      <c r="F70" t="s">
        <v>571</v>
      </c>
      <c r="G70" s="3">
        <v>45351</v>
      </c>
      <c r="H70" s="3">
        <v>46446</v>
      </c>
      <c r="I70" s="5">
        <v>4370.1099999999997</v>
      </c>
      <c r="J70" t="s">
        <v>23</v>
      </c>
      <c r="K70" t="str">
        <f ca="1">IF(TODAY()&gt;H70,"Expired","Active")</f>
        <v>Active</v>
      </c>
    </row>
    <row r="71" spans="1:11" x14ac:dyDescent="0.25">
      <c r="A71" t="s">
        <v>845</v>
      </c>
      <c r="B71" t="s">
        <v>26</v>
      </c>
      <c r="C71" t="s">
        <v>58</v>
      </c>
      <c r="D71" t="s">
        <v>846</v>
      </c>
      <c r="E71" t="s">
        <v>32</v>
      </c>
      <c r="F71" t="s">
        <v>847</v>
      </c>
      <c r="G71" s="3">
        <v>45180</v>
      </c>
      <c r="H71" s="3">
        <v>46276</v>
      </c>
      <c r="I71" s="5">
        <v>1048.96</v>
      </c>
      <c r="J71" t="s">
        <v>14</v>
      </c>
      <c r="K71" t="str">
        <f ca="1">IF(TODAY()&gt;H71,"Expired","Active")</f>
        <v>Active</v>
      </c>
    </row>
    <row r="72" spans="1:11" x14ac:dyDescent="0.25">
      <c r="A72" t="s">
        <v>848</v>
      </c>
      <c r="B72" t="s">
        <v>20</v>
      </c>
      <c r="C72" t="s">
        <v>31</v>
      </c>
      <c r="D72" t="s">
        <v>849</v>
      </c>
      <c r="E72" t="s">
        <v>34</v>
      </c>
      <c r="F72" t="s">
        <v>850</v>
      </c>
      <c r="G72" s="3">
        <v>45339</v>
      </c>
      <c r="H72" s="3">
        <v>45705</v>
      </c>
      <c r="I72" s="5">
        <v>1307.1600000000001</v>
      </c>
      <c r="J72" t="s">
        <v>14</v>
      </c>
      <c r="K72" t="str">
        <f ca="1">IF(TODAY()&gt;H72,"Expired","Active")</f>
        <v>Expired</v>
      </c>
    </row>
    <row r="73" spans="1:11" x14ac:dyDescent="0.25">
      <c r="A73" t="s">
        <v>851</v>
      </c>
      <c r="B73" t="s">
        <v>24</v>
      </c>
      <c r="C73" t="s">
        <v>38</v>
      </c>
      <c r="D73" t="s">
        <v>852</v>
      </c>
      <c r="E73" t="s">
        <v>39</v>
      </c>
      <c r="F73" t="s">
        <v>853</v>
      </c>
      <c r="G73" s="3">
        <v>45460</v>
      </c>
      <c r="H73" s="3">
        <v>45825</v>
      </c>
      <c r="I73" s="5">
        <v>963.99</v>
      </c>
      <c r="J73" t="s">
        <v>35</v>
      </c>
      <c r="K73" t="str">
        <f ca="1">IF(TODAY()&gt;H73,"Expired","Active")</f>
        <v>Expired</v>
      </c>
    </row>
    <row r="74" spans="1:11" x14ac:dyDescent="0.25">
      <c r="A74" t="s">
        <v>854</v>
      </c>
      <c r="B74" t="s">
        <v>11</v>
      </c>
      <c r="C74" t="s">
        <v>40</v>
      </c>
      <c r="D74" t="s">
        <v>855</v>
      </c>
      <c r="E74" t="s">
        <v>39</v>
      </c>
      <c r="F74" t="s">
        <v>856</v>
      </c>
      <c r="G74" s="3">
        <v>45019</v>
      </c>
      <c r="H74" s="3">
        <v>46115</v>
      </c>
      <c r="I74" s="5">
        <v>4745.25</v>
      </c>
      <c r="J74" t="s">
        <v>19</v>
      </c>
      <c r="K74" t="str">
        <f ca="1">IF(TODAY()&gt;H74,"Expired","Active")</f>
        <v>Expired</v>
      </c>
    </row>
    <row r="75" spans="1:11" x14ac:dyDescent="0.25">
      <c r="A75" t="s">
        <v>857</v>
      </c>
      <c r="B75" t="s">
        <v>26</v>
      </c>
      <c r="C75" t="s">
        <v>30</v>
      </c>
      <c r="D75" t="s">
        <v>858</v>
      </c>
      <c r="E75" t="s">
        <v>22</v>
      </c>
      <c r="F75" t="s">
        <v>67</v>
      </c>
      <c r="G75" s="3">
        <v>45491</v>
      </c>
      <c r="H75" s="3">
        <v>46586</v>
      </c>
      <c r="I75" s="5">
        <v>1161.02</v>
      </c>
      <c r="J75" t="s">
        <v>23</v>
      </c>
      <c r="K75" t="str">
        <f ca="1">IF(TODAY()&gt;H75,"Expired","Active")</f>
        <v>Active</v>
      </c>
    </row>
    <row r="76" spans="1:11" x14ac:dyDescent="0.25">
      <c r="A76" t="s">
        <v>859</v>
      </c>
      <c r="B76" t="s">
        <v>15</v>
      </c>
      <c r="C76" t="s">
        <v>41</v>
      </c>
      <c r="D76" t="s">
        <v>860</v>
      </c>
      <c r="E76" t="s">
        <v>13</v>
      </c>
      <c r="F76" t="s">
        <v>572</v>
      </c>
      <c r="G76" s="3">
        <v>45693</v>
      </c>
      <c r="H76" s="3">
        <v>46423</v>
      </c>
      <c r="I76" s="5">
        <v>786.82</v>
      </c>
      <c r="J76" t="s">
        <v>19</v>
      </c>
      <c r="K76" t="str">
        <f ca="1">IF(TODAY()&gt;H76,"Expired","Active")</f>
        <v>Active</v>
      </c>
    </row>
    <row r="77" spans="1:11" x14ac:dyDescent="0.25">
      <c r="A77" t="s">
        <v>861</v>
      </c>
      <c r="B77" t="s">
        <v>24</v>
      </c>
      <c r="C77" t="s">
        <v>53</v>
      </c>
      <c r="D77" t="s">
        <v>862</v>
      </c>
      <c r="E77" t="s">
        <v>22</v>
      </c>
      <c r="F77" t="s">
        <v>863</v>
      </c>
      <c r="G77" s="3">
        <v>45825</v>
      </c>
      <c r="H77" s="3">
        <v>46555</v>
      </c>
      <c r="I77" s="5">
        <v>946.39</v>
      </c>
      <c r="J77" t="s">
        <v>14</v>
      </c>
      <c r="K77" t="str">
        <f ca="1">IF(TODAY()&gt;H77,"Expired","Active")</f>
        <v>Active</v>
      </c>
    </row>
    <row r="78" spans="1:11" x14ac:dyDescent="0.25">
      <c r="A78" t="s">
        <v>864</v>
      </c>
      <c r="B78" t="s">
        <v>11</v>
      </c>
      <c r="C78" t="s">
        <v>77</v>
      </c>
      <c r="D78" t="s">
        <v>865</v>
      </c>
      <c r="E78" t="s">
        <v>17</v>
      </c>
      <c r="F78" t="s">
        <v>866</v>
      </c>
      <c r="G78" s="3">
        <v>45261</v>
      </c>
      <c r="H78" s="3">
        <v>45627</v>
      </c>
      <c r="I78" s="5">
        <v>4199.3900000000003</v>
      </c>
      <c r="J78" t="s">
        <v>14</v>
      </c>
      <c r="K78" t="str">
        <f ca="1">IF(TODAY()&gt;H78,"Expired","Active")</f>
        <v>Expired</v>
      </c>
    </row>
    <row r="79" spans="1:11" x14ac:dyDescent="0.25">
      <c r="A79" t="s">
        <v>867</v>
      </c>
      <c r="B79" t="s">
        <v>29</v>
      </c>
      <c r="C79" t="s">
        <v>47</v>
      </c>
      <c r="D79" t="s">
        <v>868</v>
      </c>
      <c r="E79" t="s">
        <v>22</v>
      </c>
      <c r="F79" t="s">
        <v>869</v>
      </c>
      <c r="G79" s="3">
        <v>45701</v>
      </c>
      <c r="H79" s="3">
        <v>46431</v>
      </c>
      <c r="I79" s="5">
        <v>8169.51</v>
      </c>
      <c r="J79" t="s">
        <v>23</v>
      </c>
      <c r="K79" t="str">
        <f ca="1">IF(TODAY()&gt;H79,"Expired","Active")</f>
        <v>Active</v>
      </c>
    </row>
    <row r="80" spans="1:11" x14ac:dyDescent="0.25">
      <c r="A80" t="s">
        <v>870</v>
      </c>
      <c r="B80" t="s">
        <v>29</v>
      </c>
      <c r="C80" t="s">
        <v>21</v>
      </c>
      <c r="D80" t="s">
        <v>871</v>
      </c>
      <c r="E80" t="s">
        <v>34</v>
      </c>
      <c r="F80" t="s">
        <v>872</v>
      </c>
      <c r="G80" s="3">
        <v>46095</v>
      </c>
      <c r="H80" s="3">
        <v>47191</v>
      </c>
      <c r="I80" s="5">
        <v>7477.71</v>
      </c>
      <c r="J80" t="s">
        <v>35</v>
      </c>
      <c r="K80" t="str">
        <f ca="1">IF(TODAY()&gt;H80,"Expired","Active")</f>
        <v>Active</v>
      </c>
    </row>
    <row r="81" spans="1:11" x14ac:dyDescent="0.25">
      <c r="A81" t="s">
        <v>873</v>
      </c>
      <c r="B81" t="s">
        <v>24</v>
      </c>
      <c r="C81" t="s">
        <v>46</v>
      </c>
      <c r="D81" t="s">
        <v>874</v>
      </c>
      <c r="E81" t="s">
        <v>39</v>
      </c>
      <c r="F81" t="s">
        <v>875</v>
      </c>
      <c r="G81" s="3">
        <v>45964</v>
      </c>
      <c r="H81" s="3">
        <v>46694</v>
      </c>
      <c r="I81" s="5">
        <v>991.06</v>
      </c>
      <c r="J81" t="s">
        <v>14</v>
      </c>
      <c r="K81" t="str">
        <f ca="1">IF(TODAY()&gt;H81,"Expired","Active")</f>
        <v>Active</v>
      </c>
    </row>
    <row r="82" spans="1:11" x14ac:dyDescent="0.25">
      <c r="A82" t="s">
        <v>876</v>
      </c>
      <c r="B82" t="s">
        <v>20</v>
      </c>
      <c r="C82" t="s">
        <v>36</v>
      </c>
      <c r="D82" t="s">
        <v>877</v>
      </c>
      <c r="E82" t="s">
        <v>17</v>
      </c>
      <c r="F82" t="s">
        <v>878</v>
      </c>
      <c r="G82" s="3">
        <v>46075</v>
      </c>
      <c r="H82" s="3">
        <v>47171</v>
      </c>
      <c r="I82" s="5">
        <v>1150.2</v>
      </c>
      <c r="J82" t="s">
        <v>23</v>
      </c>
      <c r="K82" t="str">
        <f ca="1">IF(TODAY()&gt;H82,"Expired","Active")</f>
        <v>Active</v>
      </c>
    </row>
    <row r="83" spans="1:11" x14ac:dyDescent="0.25">
      <c r="A83" t="s">
        <v>879</v>
      </c>
      <c r="B83" t="s">
        <v>15</v>
      </c>
      <c r="C83" t="s">
        <v>68</v>
      </c>
      <c r="D83" t="s">
        <v>880</v>
      </c>
      <c r="E83" t="s">
        <v>32</v>
      </c>
      <c r="F83" t="s">
        <v>881</v>
      </c>
      <c r="G83" s="3">
        <v>45414</v>
      </c>
      <c r="H83" s="3">
        <v>46144</v>
      </c>
      <c r="I83" s="5">
        <v>864.43</v>
      </c>
      <c r="J83" t="s">
        <v>19</v>
      </c>
      <c r="K83" t="str">
        <f ca="1">IF(TODAY()&gt;H83,"Expired","Active")</f>
        <v>Active</v>
      </c>
    </row>
    <row r="84" spans="1:11" x14ac:dyDescent="0.25">
      <c r="A84" t="s">
        <v>882</v>
      </c>
      <c r="B84" t="s">
        <v>20</v>
      </c>
      <c r="C84" t="s">
        <v>77</v>
      </c>
      <c r="D84" t="s">
        <v>883</v>
      </c>
      <c r="E84" t="s">
        <v>34</v>
      </c>
      <c r="F84" t="s">
        <v>884</v>
      </c>
      <c r="G84" s="3">
        <v>45322</v>
      </c>
      <c r="H84" s="3">
        <v>46418</v>
      </c>
      <c r="I84" s="5">
        <v>1580.63</v>
      </c>
      <c r="J84" t="s">
        <v>19</v>
      </c>
      <c r="K84" t="str">
        <f ca="1">IF(TODAY()&gt;H84,"Expired","Active")</f>
        <v>Active</v>
      </c>
    </row>
    <row r="85" spans="1:11" x14ac:dyDescent="0.25">
      <c r="A85" t="s">
        <v>885</v>
      </c>
      <c r="B85" t="s">
        <v>29</v>
      </c>
      <c r="C85" t="s">
        <v>68</v>
      </c>
      <c r="D85" t="s">
        <v>886</v>
      </c>
      <c r="E85" t="s">
        <v>22</v>
      </c>
      <c r="F85" t="s">
        <v>887</v>
      </c>
      <c r="G85" s="3">
        <v>45774</v>
      </c>
      <c r="H85" s="3">
        <v>46139</v>
      </c>
      <c r="I85" s="5">
        <v>9205.9599999999991</v>
      </c>
      <c r="J85" t="s">
        <v>35</v>
      </c>
      <c r="K85" t="str">
        <f ca="1">IF(TODAY()&gt;H85,"Expired","Active")</f>
        <v>Active</v>
      </c>
    </row>
    <row r="86" spans="1:11" x14ac:dyDescent="0.25">
      <c r="A86" t="s">
        <v>888</v>
      </c>
      <c r="B86" t="s">
        <v>26</v>
      </c>
      <c r="C86" t="s">
        <v>56</v>
      </c>
      <c r="D86" t="s">
        <v>889</v>
      </c>
      <c r="E86" t="s">
        <v>22</v>
      </c>
      <c r="F86" t="s">
        <v>70</v>
      </c>
      <c r="G86" s="3">
        <v>45062</v>
      </c>
      <c r="H86" s="3">
        <v>45428</v>
      </c>
      <c r="I86" s="5">
        <v>1167.9100000000001</v>
      </c>
      <c r="J86" t="s">
        <v>23</v>
      </c>
      <c r="K86" t="str">
        <f ca="1">IF(TODAY()&gt;H86,"Expired","Active")</f>
        <v>Expired</v>
      </c>
    </row>
    <row r="87" spans="1:11" x14ac:dyDescent="0.25">
      <c r="A87" t="s">
        <v>890</v>
      </c>
      <c r="B87" t="s">
        <v>24</v>
      </c>
      <c r="C87" t="s">
        <v>50</v>
      </c>
      <c r="D87" t="s">
        <v>891</v>
      </c>
      <c r="E87" t="s">
        <v>34</v>
      </c>
      <c r="F87" t="s">
        <v>892</v>
      </c>
      <c r="G87" s="3">
        <v>45091</v>
      </c>
      <c r="H87" s="3">
        <v>46187</v>
      </c>
      <c r="I87" s="5">
        <v>1705.12</v>
      </c>
      <c r="J87" t="s">
        <v>14</v>
      </c>
      <c r="K87" t="str">
        <f ca="1">IF(TODAY()&gt;H87,"Expired","Active")</f>
        <v>Active</v>
      </c>
    </row>
    <row r="88" spans="1:11" x14ac:dyDescent="0.25">
      <c r="A88" t="s">
        <v>893</v>
      </c>
      <c r="B88" t="s">
        <v>15</v>
      </c>
      <c r="C88" t="s">
        <v>40</v>
      </c>
      <c r="D88" t="s">
        <v>894</v>
      </c>
      <c r="E88" t="s">
        <v>32</v>
      </c>
      <c r="F88" t="s">
        <v>895</v>
      </c>
      <c r="G88" s="3">
        <v>45424</v>
      </c>
      <c r="H88" s="3">
        <v>46519</v>
      </c>
      <c r="I88" s="5">
        <v>567.51</v>
      </c>
      <c r="J88" t="s">
        <v>35</v>
      </c>
      <c r="K88" t="str">
        <f ca="1">IF(TODAY()&gt;H88,"Expired","Active")</f>
        <v>Active</v>
      </c>
    </row>
    <row r="89" spans="1:11" x14ac:dyDescent="0.25">
      <c r="A89" t="s">
        <v>896</v>
      </c>
      <c r="B89" t="s">
        <v>11</v>
      </c>
      <c r="C89" t="s">
        <v>49</v>
      </c>
      <c r="D89" t="s">
        <v>897</v>
      </c>
      <c r="E89" t="s">
        <v>17</v>
      </c>
      <c r="F89" t="s">
        <v>898</v>
      </c>
      <c r="G89" s="3">
        <v>45149</v>
      </c>
      <c r="H89" s="3">
        <v>45515</v>
      </c>
      <c r="I89" s="5">
        <v>3464.64</v>
      </c>
      <c r="J89" t="s">
        <v>14</v>
      </c>
      <c r="K89" t="str">
        <f ca="1">IF(TODAY()&gt;H89,"Expired","Active")</f>
        <v>Expired</v>
      </c>
    </row>
    <row r="90" spans="1:11" x14ac:dyDescent="0.25">
      <c r="A90" t="s">
        <v>899</v>
      </c>
      <c r="B90" t="s">
        <v>15</v>
      </c>
      <c r="C90" t="s">
        <v>21</v>
      </c>
      <c r="D90" t="s">
        <v>900</v>
      </c>
      <c r="E90" t="s">
        <v>22</v>
      </c>
      <c r="F90" t="s">
        <v>901</v>
      </c>
      <c r="G90" s="3">
        <v>45418</v>
      </c>
      <c r="H90" s="3">
        <v>46513</v>
      </c>
      <c r="I90" s="5">
        <v>615.98</v>
      </c>
      <c r="J90" t="s">
        <v>14</v>
      </c>
      <c r="K90" t="str">
        <f ca="1">IF(TODAY()&gt;H90,"Expired","Active")</f>
        <v>Active</v>
      </c>
    </row>
    <row r="91" spans="1:11" x14ac:dyDescent="0.25">
      <c r="A91" t="s">
        <v>902</v>
      </c>
      <c r="B91" t="s">
        <v>26</v>
      </c>
      <c r="C91" t="s">
        <v>47</v>
      </c>
      <c r="D91" t="s">
        <v>903</v>
      </c>
      <c r="E91" t="s">
        <v>32</v>
      </c>
      <c r="F91" t="s">
        <v>904</v>
      </c>
      <c r="G91" s="3">
        <v>45625</v>
      </c>
      <c r="H91" s="3">
        <v>45990</v>
      </c>
      <c r="I91" s="5">
        <v>834.92</v>
      </c>
      <c r="J91" t="s">
        <v>19</v>
      </c>
      <c r="K91" t="str">
        <f ca="1">IF(TODAY()&gt;H91,"Expired","Active")</f>
        <v>Expired</v>
      </c>
    </row>
    <row r="92" spans="1:11" x14ac:dyDescent="0.25">
      <c r="A92" t="s">
        <v>905</v>
      </c>
      <c r="B92" t="s">
        <v>15</v>
      </c>
      <c r="C92" t="s">
        <v>36</v>
      </c>
      <c r="D92" t="s">
        <v>906</v>
      </c>
      <c r="E92" t="s">
        <v>39</v>
      </c>
      <c r="F92" t="s">
        <v>907</v>
      </c>
      <c r="G92" s="3">
        <v>45894</v>
      </c>
      <c r="H92" s="3">
        <v>46990</v>
      </c>
      <c r="I92" s="5">
        <v>777.56</v>
      </c>
      <c r="J92" t="s">
        <v>35</v>
      </c>
      <c r="K92" t="str">
        <f ca="1">IF(TODAY()&gt;H92,"Expired","Active")</f>
        <v>Active</v>
      </c>
    </row>
    <row r="93" spans="1:11" x14ac:dyDescent="0.25">
      <c r="A93" t="s">
        <v>908</v>
      </c>
      <c r="B93" t="s">
        <v>26</v>
      </c>
      <c r="C93" t="s">
        <v>65</v>
      </c>
      <c r="D93" t="s">
        <v>909</v>
      </c>
      <c r="E93" t="s">
        <v>13</v>
      </c>
      <c r="F93" t="s">
        <v>573</v>
      </c>
      <c r="G93" s="3">
        <v>45602</v>
      </c>
      <c r="H93" s="3">
        <v>45967</v>
      </c>
      <c r="I93" s="5">
        <v>655.01</v>
      </c>
      <c r="J93" t="s">
        <v>35</v>
      </c>
      <c r="K93" t="str">
        <f ca="1">IF(TODAY()&gt;H93,"Expired","Active")</f>
        <v>Expired</v>
      </c>
    </row>
    <row r="94" spans="1:11" x14ac:dyDescent="0.25">
      <c r="A94" t="s">
        <v>910</v>
      </c>
      <c r="B94" t="s">
        <v>29</v>
      </c>
      <c r="C94" t="s">
        <v>16</v>
      </c>
      <c r="D94" t="s">
        <v>911</v>
      </c>
      <c r="E94" t="s">
        <v>37</v>
      </c>
      <c r="F94" t="s">
        <v>912</v>
      </c>
      <c r="G94" s="3">
        <v>45031</v>
      </c>
      <c r="H94" s="3">
        <v>45397</v>
      </c>
      <c r="I94" s="5">
        <v>9346.16</v>
      </c>
      <c r="J94" t="s">
        <v>23</v>
      </c>
      <c r="K94" t="str">
        <f ca="1">IF(TODAY()&gt;H94,"Expired","Active")</f>
        <v>Expired</v>
      </c>
    </row>
    <row r="95" spans="1:11" x14ac:dyDescent="0.25">
      <c r="A95" t="s">
        <v>913</v>
      </c>
      <c r="B95" t="s">
        <v>24</v>
      </c>
      <c r="C95" t="s">
        <v>28</v>
      </c>
      <c r="D95" t="s">
        <v>914</v>
      </c>
      <c r="E95" t="s">
        <v>32</v>
      </c>
      <c r="F95" t="s">
        <v>915</v>
      </c>
      <c r="G95" s="3">
        <v>45448</v>
      </c>
      <c r="H95" s="3">
        <v>46543</v>
      </c>
      <c r="I95" s="5">
        <v>803.21</v>
      </c>
      <c r="J95" t="s">
        <v>14</v>
      </c>
      <c r="K95" t="str">
        <f ca="1">IF(TODAY()&gt;H95,"Expired","Active")</f>
        <v>Active</v>
      </c>
    </row>
    <row r="96" spans="1:11" x14ac:dyDescent="0.25">
      <c r="A96" t="s">
        <v>916</v>
      </c>
      <c r="B96" t="s">
        <v>15</v>
      </c>
      <c r="C96" t="s">
        <v>31</v>
      </c>
      <c r="D96" t="s">
        <v>917</v>
      </c>
      <c r="E96" t="s">
        <v>13</v>
      </c>
      <c r="F96" t="s">
        <v>918</v>
      </c>
      <c r="G96" s="3">
        <v>45222</v>
      </c>
      <c r="H96" s="3">
        <v>45953</v>
      </c>
      <c r="I96" s="5">
        <v>1177.3900000000001</v>
      </c>
      <c r="J96" t="s">
        <v>35</v>
      </c>
      <c r="K96" t="str">
        <f ca="1">IF(TODAY()&gt;H96,"Expired","Active")</f>
        <v>Expired</v>
      </c>
    </row>
    <row r="97" spans="1:11" x14ac:dyDescent="0.25">
      <c r="A97" t="s">
        <v>574</v>
      </c>
      <c r="B97" t="s">
        <v>24</v>
      </c>
      <c r="C97" t="s">
        <v>21</v>
      </c>
      <c r="D97" t="s">
        <v>919</v>
      </c>
      <c r="E97" t="s">
        <v>32</v>
      </c>
      <c r="F97" t="s">
        <v>920</v>
      </c>
      <c r="G97" s="3">
        <v>45045</v>
      </c>
      <c r="H97" s="3">
        <v>45411</v>
      </c>
      <c r="I97" s="5">
        <v>1853.76</v>
      </c>
      <c r="J97" t="s">
        <v>23</v>
      </c>
      <c r="K97" t="str">
        <f ca="1">IF(TODAY()&gt;H97,"Expired","Active")</f>
        <v>Expired</v>
      </c>
    </row>
    <row r="98" spans="1:11" x14ac:dyDescent="0.25">
      <c r="A98" t="s">
        <v>921</v>
      </c>
      <c r="B98" t="s">
        <v>24</v>
      </c>
      <c r="C98" t="s">
        <v>31</v>
      </c>
      <c r="D98" t="s">
        <v>922</v>
      </c>
      <c r="E98" t="s">
        <v>39</v>
      </c>
      <c r="F98" t="s">
        <v>923</v>
      </c>
      <c r="G98" s="3">
        <v>45026</v>
      </c>
      <c r="H98" s="3">
        <v>45757</v>
      </c>
      <c r="I98" s="5">
        <v>1073.75</v>
      </c>
      <c r="J98" t="s">
        <v>23</v>
      </c>
      <c r="K98" t="str">
        <f ca="1">IF(TODAY()&gt;H98,"Expired","Active")</f>
        <v>Expired</v>
      </c>
    </row>
    <row r="99" spans="1:11" x14ac:dyDescent="0.25">
      <c r="A99" t="s">
        <v>924</v>
      </c>
      <c r="B99" t="s">
        <v>26</v>
      </c>
      <c r="C99" t="s">
        <v>33</v>
      </c>
      <c r="D99" t="s">
        <v>925</v>
      </c>
      <c r="E99" t="s">
        <v>37</v>
      </c>
      <c r="F99" t="s">
        <v>926</v>
      </c>
      <c r="G99" s="3">
        <v>45032</v>
      </c>
      <c r="H99" s="3">
        <v>45398</v>
      </c>
      <c r="I99" s="5">
        <v>802.35</v>
      </c>
      <c r="J99" t="s">
        <v>35</v>
      </c>
      <c r="K99" t="str">
        <f ca="1">IF(TODAY()&gt;H99,"Expired","Active")</f>
        <v>Expired</v>
      </c>
    </row>
    <row r="100" spans="1:11" x14ac:dyDescent="0.25">
      <c r="A100" t="s">
        <v>927</v>
      </c>
      <c r="B100" t="s">
        <v>26</v>
      </c>
      <c r="C100" t="s">
        <v>42</v>
      </c>
      <c r="D100" t="s">
        <v>928</v>
      </c>
      <c r="E100" t="s">
        <v>13</v>
      </c>
      <c r="F100" t="s">
        <v>929</v>
      </c>
      <c r="G100" s="3">
        <v>45465</v>
      </c>
      <c r="H100" s="3">
        <v>45830</v>
      </c>
      <c r="I100" s="5">
        <v>1158.43</v>
      </c>
      <c r="J100" t="s">
        <v>23</v>
      </c>
      <c r="K100" t="str">
        <f ca="1">IF(TODAY()&gt;H100,"Expired","Active")</f>
        <v>Expired</v>
      </c>
    </row>
    <row r="101" spans="1:11" x14ac:dyDescent="0.25">
      <c r="A101" t="s">
        <v>930</v>
      </c>
      <c r="B101" t="s">
        <v>15</v>
      </c>
      <c r="C101" t="s">
        <v>60</v>
      </c>
      <c r="D101" t="s">
        <v>931</v>
      </c>
      <c r="E101" t="s">
        <v>22</v>
      </c>
      <c r="F101" t="s">
        <v>932</v>
      </c>
      <c r="G101" s="3">
        <v>45443</v>
      </c>
      <c r="H101" s="3">
        <v>46538</v>
      </c>
      <c r="I101" s="5">
        <v>509.37</v>
      </c>
      <c r="J101" t="s">
        <v>14</v>
      </c>
      <c r="K101" t="str">
        <f ca="1">IF(TODAY()&gt;H101,"Expired","Active")</f>
        <v>Active</v>
      </c>
    </row>
    <row r="102" spans="1:11" x14ac:dyDescent="0.25">
      <c r="A102" t="s">
        <v>933</v>
      </c>
      <c r="B102" t="s">
        <v>11</v>
      </c>
      <c r="C102" t="s">
        <v>41</v>
      </c>
      <c r="D102" t="s">
        <v>934</v>
      </c>
      <c r="E102" t="s">
        <v>37</v>
      </c>
      <c r="F102" t="s">
        <v>935</v>
      </c>
      <c r="G102" s="3">
        <v>45974</v>
      </c>
      <c r="H102" s="3">
        <v>46704</v>
      </c>
      <c r="I102" s="5">
        <v>2850.31</v>
      </c>
      <c r="J102" t="s">
        <v>14</v>
      </c>
      <c r="K102" t="str">
        <f ca="1">IF(TODAY()&gt;H102,"Expired","Active")</f>
        <v>Active</v>
      </c>
    </row>
    <row r="103" spans="1:11" x14ac:dyDescent="0.25">
      <c r="A103" t="s">
        <v>936</v>
      </c>
      <c r="B103" t="s">
        <v>15</v>
      </c>
      <c r="C103" t="s">
        <v>25</v>
      </c>
      <c r="D103" t="s">
        <v>937</v>
      </c>
      <c r="E103" t="s">
        <v>37</v>
      </c>
      <c r="F103" t="s">
        <v>938</v>
      </c>
      <c r="G103" s="3">
        <v>45639</v>
      </c>
      <c r="H103" s="3">
        <v>46369</v>
      </c>
      <c r="I103" s="5">
        <v>919.77</v>
      </c>
      <c r="J103" t="s">
        <v>35</v>
      </c>
      <c r="K103" t="str">
        <f ca="1">IF(TODAY()&gt;H103,"Expired","Active")</f>
        <v>Active</v>
      </c>
    </row>
    <row r="104" spans="1:11" x14ac:dyDescent="0.25">
      <c r="A104" t="s">
        <v>939</v>
      </c>
      <c r="B104" t="s">
        <v>29</v>
      </c>
      <c r="C104" t="s">
        <v>16</v>
      </c>
      <c r="D104" t="s">
        <v>940</v>
      </c>
      <c r="E104" t="s">
        <v>37</v>
      </c>
      <c r="F104" t="s">
        <v>941</v>
      </c>
      <c r="G104" s="3">
        <v>45589</v>
      </c>
      <c r="H104" s="3">
        <v>46319</v>
      </c>
      <c r="I104" s="5">
        <v>11200</v>
      </c>
      <c r="J104" t="s">
        <v>19</v>
      </c>
      <c r="K104" t="str">
        <f ca="1">IF(TODAY()&gt;H104,"Expired","Active")</f>
        <v>Active</v>
      </c>
    </row>
    <row r="105" spans="1:11" x14ac:dyDescent="0.25">
      <c r="A105" t="s">
        <v>942</v>
      </c>
      <c r="B105" t="s">
        <v>20</v>
      </c>
      <c r="C105" t="s">
        <v>49</v>
      </c>
      <c r="D105" t="s">
        <v>943</v>
      </c>
      <c r="E105" t="s">
        <v>17</v>
      </c>
      <c r="F105" t="s">
        <v>944</v>
      </c>
      <c r="G105" s="3">
        <v>45948</v>
      </c>
      <c r="H105" s="3">
        <v>46313</v>
      </c>
      <c r="I105" s="5">
        <v>1349.95</v>
      </c>
      <c r="J105" t="s">
        <v>23</v>
      </c>
      <c r="K105" t="str">
        <f ca="1">IF(TODAY()&gt;H105,"Expired","Active")</f>
        <v>Active</v>
      </c>
    </row>
    <row r="106" spans="1:11" x14ac:dyDescent="0.25">
      <c r="A106" t="s">
        <v>945</v>
      </c>
      <c r="B106" t="s">
        <v>11</v>
      </c>
      <c r="C106" t="s">
        <v>46</v>
      </c>
      <c r="D106" t="s">
        <v>946</v>
      </c>
      <c r="E106" t="s">
        <v>34</v>
      </c>
      <c r="F106" t="s">
        <v>947</v>
      </c>
      <c r="G106" s="3">
        <v>46038</v>
      </c>
      <c r="H106" s="3">
        <v>47134</v>
      </c>
      <c r="I106" s="5">
        <v>6007.58</v>
      </c>
      <c r="J106" t="s">
        <v>14</v>
      </c>
      <c r="K106" t="str">
        <f ca="1">IF(TODAY()&gt;H106,"Expired","Active")</f>
        <v>Active</v>
      </c>
    </row>
    <row r="107" spans="1:11" x14ac:dyDescent="0.25">
      <c r="A107" t="s">
        <v>948</v>
      </c>
      <c r="B107" t="s">
        <v>29</v>
      </c>
      <c r="C107" t="s">
        <v>25</v>
      </c>
      <c r="D107" t="s">
        <v>949</v>
      </c>
      <c r="E107" t="s">
        <v>39</v>
      </c>
      <c r="F107" t="s">
        <v>71</v>
      </c>
      <c r="G107" s="3">
        <v>45608</v>
      </c>
      <c r="H107" s="3">
        <v>46338</v>
      </c>
      <c r="I107" s="5">
        <v>5220.3599999999997</v>
      </c>
      <c r="J107" t="s">
        <v>23</v>
      </c>
      <c r="K107" t="str">
        <f ca="1">IF(TODAY()&gt;H107,"Expired","Active")</f>
        <v>Active</v>
      </c>
    </row>
    <row r="108" spans="1:11" x14ac:dyDescent="0.25">
      <c r="A108" t="s">
        <v>950</v>
      </c>
      <c r="B108" t="s">
        <v>24</v>
      </c>
      <c r="C108" t="s">
        <v>77</v>
      </c>
      <c r="D108" t="s">
        <v>951</v>
      </c>
      <c r="E108" t="s">
        <v>34</v>
      </c>
      <c r="F108" t="s">
        <v>952</v>
      </c>
      <c r="G108" s="3">
        <v>45494</v>
      </c>
      <c r="H108" s="3">
        <v>45859</v>
      </c>
      <c r="I108" s="5">
        <v>830.45</v>
      </c>
      <c r="J108" t="s">
        <v>14</v>
      </c>
      <c r="K108" t="str">
        <f ca="1">IF(TODAY()&gt;H108,"Expired","Active")</f>
        <v>Expired</v>
      </c>
    </row>
    <row r="109" spans="1:11" x14ac:dyDescent="0.25">
      <c r="A109" t="s">
        <v>953</v>
      </c>
      <c r="B109" t="s">
        <v>11</v>
      </c>
      <c r="C109" t="s">
        <v>51</v>
      </c>
      <c r="D109" t="s">
        <v>954</v>
      </c>
      <c r="E109" t="s">
        <v>22</v>
      </c>
      <c r="F109" t="s">
        <v>575</v>
      </c>
      <c r="G109" s="3">
        <v>45622</v>
      </c>
      <c r="H109" s="3">
        <v>46352</v>
      </c>
      <c r="I109" s="5">
        <v>2904.14</v>
      </c>
      <c r="J109" t="s">
        <v>14</v>
      </c>
      <c r="K109" t="str">
        <f ca="1">IF(TODAY()&gt;H109,"Expired","Active")</f>
        <v>Active</v>
      </c>
    </row>
    <row r="110" spans="1:11" x14ac:dyDescent="0.25">
      <c r="A110" t="s">
        <v>955</v>
      </c>
      <c r="B110" t="s">
        <v>11</v>
      </c>
      <c r="C110" t="s">
        <v>69</v>
      </c>
      <c r="D110" t="s">
        <v>956</v>
      </c>
      <c r="E110" t="s">
        <v>32</v>
      </c>
      <c r="F110" t="s">
        <v>957</v>
      </c>
      <c r="G110" s="3">
        <v>45394</v>
      </c>
      <c r="H110" s="3">
        <v>45759</v>
      </c>
      <c r="I110" s="5">
        <v>5912.32</v>
      </c>
      <c r="J110" t="s">
        <v>14</v>
      </c>
      <c r="K110" t="str">
        <f ca="1">IF(TODAY()&gt;H110,"Expired","Active")</f>
        <v>Expired</v>
      </c>
    </row>
    <row r="111" spans="1:11" x14ac:dyDescent="0.25">
      <c r="A111" t="s">
        <v>958</v>
      </c>
      <c r="B111" t="s">
        <v>15</v>
      </c>
      <c r="C111" t="s">
        <v>21</v>
      </c>
      <c r="D111" t="s">
        <v>959</v>
      </c>
      <c r="E111" t="s">
        <v>17</v>
      </c>
      <c r="F111" t="s">
        <v>576</v>
      </c>
      <c r="G111" s="3">
        <v>45128</v>
      </c>
      <c r="H111" s="3">
        <v>45859</v>
      </c>
      <c r="I111" s="5">
        <v>475.46</v>
      </c>
      <c r="J111" t="s">
        <v>23</v>
      </c>
      <c r="K111" t="str">
        <f ca="1">IF(TODAY()&gt;H111,"Expired","Active")</f>
        <v>Expired</v>
      </c>
    </row>
    <row r="112" spans="1:11" x14ac:dyDescent="0.25">
      <c r="A112" t="s">
        <v>960</v>
      </c>
      <c r="B112" t="s">
        <v>20</v>
      </c>
      <c r="C112" t="s">
        <v>58</v>
      </c>
      <c r="D112" t="s">
        <v>961</v>
      </c>
      <c r="E112" t="s">
        <v>37</v>
      </c>
      <c r="F112" t="s">
        <v>962</v>
      </c>
      <c r="G112" s="3">
        <v>45376</v>
      </c>
      <c r="H112" s="3">
        <v>46471</v>
      </c>
      <c r="I112" s="5">
        <v>1550.62</v>
      </c>
      <c r="J112" t="s">
        <v>35</v>
      </c>
      <c r="K112" t="str">
        <f ca="1">IF(TODAY()&gt;H112,"Expired","Active")</f>
        <v>Active</v>
      </c>
    </row>
    <row r="113" spans="1:11" x14ac:dyDescent="0.25">
      <c r="A113" t="s">
        <v>963</v>
      </c>
      <c r="B113" t="s">
        <v>11</v>
      </c>
      <c r="C113" t="s">
        <v>50</v>
      </c>
      <c r="D113" t="s">
        <v>964</v>
      </c>
      <c r="E113" t="s">
        <v>13</v>
      </c>
      <c r="F113" t="s">
        <v>965</v>
      </c>
      <c r="G113" s="3">
        <v>45883</v>
      </c>
      <c r="H113" s="3">
        <v>46613</v>
      </c>
      <c r="I113" s="5">
        <v>3399.87</v>
      </c>
      <c r="J113" t="s">
        <v>14</v>
      </c>
      <c r="K113" t="str">
        <f ca="1">IF(TODAY()&gt;H113,"Expired","Active")</f>
        <v>Active</v>
      </c>
    </row>
    <row r="114" spans="1:11" x14ac:dyDescent="0.25">
      <c r="A114" t="s">
        <v>966</v>
      </c>
      <c r="B114" t="s">
        <v>15</v>
      </c>
      <c r="C114" t="s">
        <v>69</v>
      </c>
      <c r="D114" t="s">
        <v>967</v>
      </c>
      <c r="E114" t="s">
        <v>37</v>
      </c>
      <c r="F114" t="s">
        <v>577</v>
      </c>
      <c r="G114" s="3">
        <v>46017</v>
      </c>
      <c r="H114" s="3">
        <v>46382</v>
      </c>
      <c r="I114" s="5">
        <v>412.83</v>
      </c>
      <c r="J114" t="s">
        <v>14</v>
      </c>
      <c r="K114" t="str">
        <f ca="1">IF(TODAY()&gt;H114,"Expired","Active")</f>
        <v>Active</v>
      </c>
    </row>
    <row r="115" spans="1:11" x14ac:dyDescent="0.25">
      <c r="A115" t="s">
        <v>968</v>
      </c>
      <c r="B115" t="s">
        <v>11</v>
      </c>
      <c r="C115" t="s">
        <v>43</v>
      </c>
      <c r="D115" t="s">
        <v>969</v>
      </c>
      <c r="E115" t="s">
        <v>32</v>
      </c>
      <c r="F115" t="s">
        <v>970</v>
      </c>
      <c r="G115" s="3">
        <v>45267</v>
      </c>
      <c r="H115" s="3">
        <v>45998</v>
      </c>
      <c r="I115" s="5">
        <v>2752.07</v>
      </c>
      <c r="J115" t="s">
        <v>14</v>
      </c>
      <c r="K115" t="str">
        <f ca="1">IF(TODAY()&gt;H115,"Expired","Active")</f>
        <v>Expired</v>
      </c>
    </row>
    <row r="116" spans="1:11" x14ac:dyDescent="0.25">
      <c r="A116" t="s">
        <v>971</v>
      </c>
      <c r="B116" t="s">
        <v>11</v>
      </c>
      <c r="C116" t="s">
        <v>33</v>
      </c>
      <c r="D116" t="s">
        <v>972</v>
      </c>
      <c r="E116" t="s">
        <v>22</v>
      </c>
      <c r="F116" t="s">
        <v>973</v>
      </c>
      <c r="G116" s="3">
        <v>45920</v>
      </c>
      <c r="H116" s="3">
        <v>46650</v>
      </c>
      <c r="I116" s="5">
        <v>3350.34</v>
      </c>
      <c r="J116" t="s">
        <v>23</v>
      </c>
      <c r="K116" t="str">
        <f ca="1">IF(TODAY()&gt;H116,"Expired","Active")</f>
        <v>Active</v>
      </c>
    </row>
    <row r="117" spans="1:11" x14ac:dyDescent="0.25">
      <c r="A117" t="s">
        <v>73</v>
      </c>
      <c r="B117" t="s">
        <v>24</v>
      </c>
      <c r="C117" t="s">
        <v>27</v>
      </c>
      <c r="D117" t="s">
        <v>974</v>
      </c>
      <c r="E117" t="s">
        <v>32</v>
      </c>
      <c r="F117" t="s">
        <v>975</v>
      </c>
      <c r="G117" s="3">
        <v>45011</v>
      </c>
      <c r="H117" s="3">
        <v>46107</v>
      </c>
      <c r="I117" s="5">
        <v>1411.63</v>
      </c>
      <c r="J117" t="s">
        <v>23</v>
      </c>
      <c r="K117" t="str">
        <f ca="1">IF(TODAY()&gt;H117,"Expired","Active")</f>
        <v>Expired</v>
      </c>
    </row>
    <row r="118" spans="1:11" x14ac:dyDescent="0.25">
      <c r="A118" t="s">
        <v>976</v>
      </c>
      <c r="B118" t="s">
        <v>20</v>
      </c>
      <c r="C118" t="s">
        <v>27</v>
      </c>
      <c r="D118" t="s">
        <v>977</v>
      </c>
      <c r="E118" t="s">
        <v>34</v>
      </c>
      <c r="F118" t="s">
        <v>74</v>
      </c>
      <c r="G118" s="3">
        <v>45705</v>
      </c>
      <c r="H118" s="3">
        <v>46070</v>
      </c>
      <c r="I118" s="5">
        <v>1672</v>
      </c>
      <c r="J118" t="s">
        <v>23</v>
      </c>
      <c r="K118" t="str">
        <f ca="1">IF(TODAY()&gt;H118,"Expired","Active")</f>
        <v>Expired</v>
      </c>
    </row>
    <row r="119" spans="1:11" x14ac:dyDescent="0.25">
      <c r="A119" t="s">
        <v>978</v>
      </c>
      <c r="B119" t="s">
        <v>20</v>
      </c>
      <c r="C119" t="s">
        <v>50</v>
      </c>
      <c r="D119" t="s">
        <v>979</v>
      </c>
      <c r="E119" t="s">
        <v>32</v>
      </c>
      <c r="F119" t="s">
        <v>75</v>
      </c>
      <c r="G119" s="3">
        <v>45622</v>
      </c>
      <c r="H119" s="3">
        <v>46717</v>
      </c>
      <c r="I119" s="5">
        <v>1176.25</v>
      </c>
      <c r="J119" t="s">
        <v>23</v>
      </c>
      <c r="K119" t="str">
        <f ca="1">IF(TODAY()&gt;H119,"Expired","Active")</f>
        <v>Active</v>
      </c>
    </row>
    <row r="120" spans="1:11" x14ac:dyDescent="0.25">
      <c r="A120" t="s">
        <v>980</v>
      </c>
      <c r="B120" t="s">
        <v>20</v>
      </c>
      <c r="C120" t="s">
        <v>44</v>
      </c>
      <c r="D120" t="s">
        <v>981</v>
      </c>
      <c r="E120" t="s">
        <v>39</v>
      </c>
      <c r="F120" t="s">
        <v>578</v>
      </c>
      <c r="G120" s="3">
        <v>46018</v>
      </c>
      <c r="H120" s="3">
        <v>46748</v>
      </c>
      <c r="I120" s="5">
        <v>1004.32</v>
      </c>
      <c r="J120" t="s">
        <v>14</v>
      </c>
      <c r="K120" t="str">
        <f ca="1">IF(TODAY()&gt;H120,"Expired","Active")</f>
        <v>Active</v>
      </c>
    </row>
    <row r="121" spans="1:11" x14ac:dyDescent="0.25">
      <c r="A121" t="s">
        <v>982</v>
      </c>
      <c r="B121" t="s">
        <v>15</v>
      </c>
      <c r="C121" t="s">
        <v>44</v>
      </c>
      <c r="D121" t="s">
        <v>983</v>
      </c>
      <c r="E121" t="s">
        <v>22</v>
      </c>
      <c r="F121" t="s">
        <v>984</v>
      </c>
      <c r="G121" s="3">
        <v>45524</v>
      </c>
      <c r="H121" s="3">
        <v>46254</v>
      </c>
      <c r="I121" s="5">
        <v>1034.32</v>
      </c>
      <c r="J121" t="s">
        <v>19</v>
      </c>
      <c r="K121" t="str">
        <f ca="1">IF(TODAY()&gt;H121,"Expired","Active")</f>
        <v>Active</v>
      </c>
    </row>
    <row r="122" spans="1:11" x14ac:dyDescent="0.25">
      <c r="A122" t="s">
        <v>985</v>
      </c>
      <c r="B122" t="s">
        <v>15</v>
      </c>
      <c r="C122" t="s">
        <v>43</v>
      </c>
      <c r="D122" t="s">
        <v>986</v>
      </c>
      <c r="E122" t="s">
        <v>13</v>
      </c>
      <c r="F122" t="s">
        <v>987</v>
      </c>
      <c r="G122" s="3">
        <v>46070</v>
      </c>
      <c r="H122" s="3">
        <v>47166</v>
      </c>
      <c r="I122" s="5">
        <v>1030.55</v>
      </c>
      <c r="J122" t="s">
        <v>23</v>
      </c>
      <c r="K122" t="str">
        <f ca="1">IF(TODAY()&gt;H122,"Expired","Active")</f>
        <v>Active</v>
      </c>
    </row>
    <row r="123" spans="1:11" x14ac:dyDescent="0.25">
      <c r="A123" t="s">
        <v>988</v>
      </c>
      <c r="B123" t="s">
        <v>11</v>
      </c>
      <c r="C123" t="s">
        <v>69</v>
      </c>
      <c r="D123" t="s">
        <v>989</v>
      </c>
      <c r="E123" t="s">
        <v>22</v>
      </c>
      <c r="F123" t="s">
        <v>990</v>
      </c>
      <c r="G123" s="3">
        <v>46085</v>
      </c>
      <c r="H123" s="3">
        <v>46450</v>
      </c>
      <c r="I123" s="5">
        <v>2484.83</v>
      </c>
      <c r="J123" t="s">
        <v>23</v>
      </c>
      <c r="K123" t="str">
        <f ca="1">IF(TODAY()&gt;H123,"Expired","Active")</f>
        <v>Active</v>
      </c>
    </row>
    <row r="124" spans="1:11" x14ac:dyDescent="0.25">
      <c r="A124" t="s">
        <v>991</v>
      </c>
      <c r="B124" t="s">
        <v>26</v>
      </c>
      <c r="C124" t="s">
        <v>50</v>
      </c>
      <c r="D124" t="s">
        <v>992</v>
      </c>
      <c r="E124" t="s">
        <v>22</v>
      </c>
      <c r="F124" t="s">
        <v>993</v>
      </c>
      <c r="G124" s="3">
        <v>45704</v>
      </c>
      <c r="H124" s="3">
        <v>46799</v>
      </c>
      <c r="I124" s="5">
        <v>716.75</v>
      </c>
      <c r="J124" t="s">
        <v>19</v>
      </c>
      <c r="K124" t="str">
        <f ca="1">IF(TODAY()&gt;H124,"Expired","Active")</f>
        <v>Active</v>
      </c>
    </row>
    <row r="125" spans="1:11" x14ac:dyDescent="0.25">
      <c r="A125" t="s">
        <v>579</v>
      </c>
      <c r="B125" t="s">
        <v>26</v>
      </c>
      <c r="C125" t="s">
        <v>49</v>
      </c>
      <c r="D125" t="s">
        <v>994</v>
      </c>
      <c r="E125" t="s">
        <v>37</v>
      </c>
      <c r="F125" t="s">
        <v>995</v>
      </c>
      <c r="G125" s="3">
        <v>45951</v>
      </c>
      <c r="H125" s="3">
        <v>47047</v>
      </c>
      <c r="I125" s="5">
        <v>1117.24</v>
      </c>
      <c r="J125" t="s">
        <v>35</v>
      </c>
      <c r="K125" t="str">
        <f ca="1">IF(TODAY()&gt;H125,"Expired","Active")</f>
        <v>Active</v>
      </c>
    </row>
    <row r="126" spans="1:11" x14ac:dyDescent="0.25">
      <c r="A126" t="s">
        <v>996</v>
      </c>
      <c r="B126" t="s">
        <v>24</v>
      </c>
      <c r="C126" t="s">
        <v>12</v>
      </c>
      <c r="D126" t="s">
        <v>997</v>
      </c>
      <c r="E126" t="s">
        <v>32</v>
      </c>
      <c r="F126" t="s">
        <v>998</v>
      </c>
      <c r="G126" s="3">
        <v>46019</v>
      </c>
      <c r="H126" s="3">
        <v>47115</v>
      </c>
      <c r="I126" s="5">
        <v>1162.3900000000001</v>
      </c>
      <c r="J126" t="s">
        <v>35</v>
      </c>
      <c r="K126" t="str">
        <f ca="1">IF(TODAY()&gt;H126,"Expired","Active")</f>
        <v>Active</v>
      </c>
    </row>
    <row r="127" spans="1:11" x14ac:dyDescent="0.25">
      <c r="A127" t="s">
        <v>999</v>
      </c>
      <c r="B127" t="s">
        <v>26</v>
      </c>
      <c r="C127" t="s">
        <v>50</v>
      </c>
      <c r="D127" t="s">
        <v>1000</v>
      </c>
      <c r="E127" t="s">
        <v>17</v>
      </c>
      <c r="F127" t="s">
        <v>1001</v>
      </c>
      <c r="G127" s="3">
        <v>45046</v>
      </c>
      <c r="H127" s="3">
        <v>46142</v>
      </c>
      <c r="I127" s="5">
        <v>817.53</v>
      </c>
      <c r="J127" t="s">
        <v>19</v>
      </c>
      <c r="K127" t="str">
        <f ca="1">IF(TODAY()&gt;H127,"Expired","Active")</f>
        <v>Active</v>
      </c>
    </row>
    <row r="128" spans="1:11" x14ac:dyDescent="0.25">
      <c r="A128" t="s">
        <v>1002</v>
      </c>
      <c r="B128" t="s">
        <v>26</v>
      </c>
      <c r="C128" t="s">
        <v>52</v>
      </c>
      <c r="D128" t="s">
        <v>1003</v>
      </c>
      <c r="E128" t="s">
        <v>22</v>
      </c>
      <c r="F128" t="s">
        <v>1004</v>
      </c>
      <c r="G128" s="3">
        <v>45511</v>
      </c>
      <c r="H128" s="3">
        <v>45876</v>
      </c>
      <c r="I128" s="5">
        <v>643.11</v>
      </c>
      <c r="J128" t="s">
        <v>14</v>
      </c>
      <c r="K128" t="str">
        <f ca="1">IF(TODAY()&gt;H128,"Expired","Active")</f>
        <v>Expired</v>
      </c>
    </row>
    <row r="129" spans="1:11" x14ac:dyDescent="0.25">
      <c r="A129" t="s">
        <v>1005</v>
      </c>
      <c r="B129" t="s">
        <v>26</v>
      </c>
      <c r="C129" t="s">
        <v>27</v>
      </c>
      <c r="D129" t="s">
        <v>1006</v>
      </c>
      <c r="E129" t="s">
        <v>22</v>
      </c>
      <c r="F129" t="s">
        <v>76</v>
      </c>
      <c r="G129" s="3">
        <v>45463</v>
      </c>
      <c r="H129" s="3">
        <v>45828</v>
      </c>
      <c r="I129" s="5">
        <v>689.94</v>
      </c>
      <c r="J129" t="s">
        <v>14</v>
      </c>
      <c r="K129" t="str">
        <f ca="1">IF(TODAY()&gt;H129,"Expired","Active")</f>
        <v>Expired</v>
      </c>
    </row>
    <row r="130" spans="1:11" x14ac:dyDescent="0.25">
      <c r="A130" t="s">
        <v>1007</v>
      </c>
      <c r="B130" t="s">
        <v>11</v>
      </c>
      <c r="C130" t="s">
        <v>38</v>
      </c>
      <c r="D130" t="s">
        <v>1008</v>
      </c>
      <c r="E130" t="s">
        <v>22</v>
      </c>
      <c r="F130" t="s">
        <v>78</v>
      </c>
      <c r="G130" s="3">
        <v>45915</v>
      </c>
      <c r="H130" s="3">
        <v>47011</v>
      </c>
      <c r="I130" s="5">
        <v>4125.54</v>
      </c>
      <c r="J130" t="s">
        <v>23</v>
      </c>
      <c r="K130" t="str">
        <f ca="1">IF(TODAY()&gt;H130,"Expired","Active")</f>
        <v>Active</v>
      </c>
    </row>
    <row r="131" spans="1:11" x14ac:dyDescent="0.25">
      <c r="A131" t="s">
        <v>1009</v>
      </c>
      <c r="B131" t="s">
        <v>24</v>
      </c>
      <c r="C131" t="s">
        <v>41</v>
      </c>
      <c r="D131" t="s">
        <v>1010</v>
      </c>
      <c r="E131" t="s">
        <v>34</v>
      </c>
      <c r="F131" t="s">
        <v>1011</v>
      </c>
      <c r="G131" s="3">
        <v>46080</v>
      </c>
      <c r="H131" s="3">
        <v>46445</v>
      </c>
      <c r="I131" s="5">
        <v>1203.73</v>
      </c>
      <c r="J131" t="s">
        <v>23</v>
      </c>
      <c r="K131" t="str">
        <f ca="1">IF(TODAY()&gt;H131,"Expired","Active")</f>
        <v>Active</v>
      </c>
    </row>
    <row r="132" spans="1:11" x14ac:dyDescent="0.25">
      <c r="A132" t="s">
        <v>1012</v>
      </c>
      <c r="B132" t="s">
        <v>29</v>
      </c>
      <c r="C132" t="s">
        <v>66</v>
      </c>
      <c r="D132" t="s">
        <v>1013</v>
      </c>
      <c r="E132" t="s">
        <v>37</v>
      </c>
      <c r="F132" t="s">
        <v>1014</v>
      </c>
      <c r="G132" s="3">
        <v>45571</v>
      </c>
      <c r="H132" s="3">
        <v>46666</v>
      </c>
      <c r="I132" s="5">
        <v>10254.709999999999</v>
      </c>
      <c r="J132" t="s">
        <v>19</v>
      </c>
      <c r="K132" t="str">
        <f ca="1">IF(TODAY()&gt;H132,"Expired","Active")</f>
        <v>Active</v>
      </c>
    </row>
    <row r="133" spans="1:11" x14ac:dyDescent="0.25">
      <c r="A133" t="s">
        <v>1015</v>
      </c>
      <c r="B133" t="s">
        <v>24</v>
      </c>
      <c r="C133" t="s">
        <v>36</v>
      </c>
      <c r="D133" t="s">
        <v>1016</v>
      </c>
      <c r="E133" t="s">
        <v>13</v>
      </c>
      <c r="F133" t="s">
        <v>1017</v>
      </c>
      <c r="G133" s="3">
        <v>46048</v>
      </c>
      <c r="H133" s="3">
        <v>46778</v>
      </c>
      <c r="I133" s="5">
        <v>1915.83</v>
      </c>
      <c r="J133" t="s">
        <v>19</v>
      </c>
      <c r="K133" t="str">
        <f ca="1">IF(TODAY()&gt;H133,"Expired","Active")</f>
        <v>Active</v>
      </c>
    </row>
    <row r="134" spans="1:11" x14ac:dyDescent="0.25">
      <c r="A134" t="s">
        <v>1018</v>
      </c>
      <c r="B134" t="s">
        <v>15</v>
      </c>
      <c r="C134" t="s">
        <v>46</v>
      </c>
      <c r="D134" t="s">
        <v>1019</v>
      </c>
      <c r="E134" t="s">
        <v>13</v>
      </c>
      <c r="F134" t="s">
        <v>1020</v>
      </c>
      <c r="G134" s="3">
        <v>45979</v>
      </c>
      <c r="H134" s="3">
        <v>46344</v>
      </c>
      <c r="I134" s="5">
        <v>758.7</v>
      </c>
      <c r="J134" t="s">
        <v>14</v>
      </c>
      <c r="K134" t="str">
        <f ca="1">IF(TODAY()&gt;H134,"Expired","Active")</f>
        <v>Active</v>
      </c>
    </row>
    <row r="135" spans="1:11" x14ac:dyDescent="0.25">
      <c r="A135" t="s">
        <v>580</v>
      </c>
      <c r="B135" t="s">
        <v>24</v>
      </c>
      <c r="C135" t="s">
        <v>66</v>
      </c>
      <c r="D135" t="s">
        <v>1021</v>
      </c>
      <c r="E135" t="s">
        <v>39</v>
      </c>
      <c r="F135" t="s">
        <v>1022</v>
      </c>
      <c r="G135" s="3">
        <v>45755</v>
      </c>
      <c r="H135" s="3">
        <v>46120</v>
      </c>
      <c r="I135" s="5">
        <v>1849.58</v>
      </c>
      <c r="J135" t="s">
        <v>14</v>
      </c>
      <c r="K135" t="str">
        <f ca="1">IF(TODAY()&gt;H135,"Expired","Active")</f>
        <v>Expired</v>
      </c>
    </row>
    <row r="136" spans="1:11" x14ac:dyDescent="0.25">
      <c r="A136" t="s">
        <v>79</v>
      </c>
      <c r="B136" t="s">
        <v>26</v>
      </c>
      <c r="C136" t="s">
        <v>43</v>
      </c>
      <c r="D136" t="s">
        <v>1023</v>
      </c>
      <c r="E136" t="s">
        <v>17</v>
      </c>
      <c r="F136" t="s">
        <v>1024</v>
      </c>
      <c r="G136" s="3">
        <v>45527</v>
      </c>
      <c r="H136" s="3">
        <v>46257</v>
      </c>
      <c r="I136" s="5">
        <v>942.58</v>
      </c>
      <c r="J136" t="s">
        <v>23</v>
      </c>
      <c r="K136" t="str">
        <f ca="1">IF(TODAY()&gt;H136,"Expired","Active")</f>
        <v>Active</v>
      </c>
    </row>
    <row r="137" spans="1:11" x14ac:dyDescent="0.25">
      <c r="A137" t="s">
        <v>1025</v>
      </c>
      <c r="B137" t="s">
        <v>29</v>
      </c>
      <c r="C137" t="s">
        <v>44</v>
      </c>
      <c r="D137" t="s">
        <v>1026</v>
      </c>
      <c r="E137" t="s">
        <v>39</v>
      </c>
      <c r="F137" t="s">
        <v>581</v>
      </c>
      <c r="G137" s="3">
        <v>45654</v>
      </c>
      <c r="H137" s="3">
        <v>46019</v>
      </c>
      <c r="I137" s="5">
        <v>9155.34</v>
      </c>
      <c r="J137" t="s">
        <v>19</v>
      </c>
      <c r="K137" t="str">
        <f ca="1">IF(TODAY()&gt;H137,"Expired","Active")</f>
        <v>Expired</v>
      </c>
    </row>
    <row r="138" spans="1:11" x14ac:dyDescent="0.25">
      <c r="A138" t="s">
        <v>1027</v>
      </c>
      <c r="B138" t="s">
        <v>24</v>
      </c>
      <c r="C138" t="s">
        <v>46</v>
      </c>
      <c r="D138" t="s">
        <v>1028</v>
      </c>
      <c r="E138" t="s">
        <v>34</v>
      </c>
      <c r="F138" t="s">
        <v>582</v>
      </c>
      <c r="G138" s="3">
        <v>45527</v>
      </c>
      <c r="H138" s="3">
        <v>45892</v>
      </c>
      <c r="I138" s="5">
        <v>949.45</v>
      </c>
      <c r="J138" t="s">
        <v>23</v>
      </c>
      <c r="K138" t="str">
        <f ca="1">IF(TODAY()&gt;H138,"Expired","Active")</f>
        <v>Expired</v>
      </c>
    </row>
    <row r="139" spans="1:11" x14ac:dyDescent="0.25">
      <c r="A139" t="s">
        <v>1029</v>
      </c>
      <c r="B139" t="s">
        <v>24</v>
      </c>
      <c r="C139" t="s">
        <v>33</v>
      </c>
      <c r="D139" t="s">
        <v>1030</v>
      </c>
      <c r="E139" t="s">
        <v>17</v>
      </c>
      <c r="F139" t="s">
        <v>1031</v>
      </c>
      <c r="G139" s="3">
        <v>45240</v>
      </c>
      <c r="H139" s="3">
        <v>46336</v>
      </c>
      <c r="I139" s="5">
        <v>1974.44</v>
      </c>
      <c r="J139" t="s">
        <v>23</v>
      </c>
      <c r="K139" t="str">
        <f ca="1">IF(TODAY()&gt;H139,"Expired","Active")</f>
        <v>Active</v>
      </c>
    </row>
    <row r="140" spans="1:11" x14ac:dyDescent="0.25">
      <c r="A140" t="s">
        <v>1032</v>
      </c>
      <c r="B140" t="s">
        <v>24</v>
      </c>
      <c r="C140" t="s">
        <v>72</v>
      </c>
      <c r="D140" t="s">
        <v>1033</v>
      </c>
      <c r="E140" t="s">
        <v>34</v>
      </c>
      <c r="F140" t="s">
        <v>1034</v>
      </c>
      <c r="G140" s="3">
        <v>45270</v>
      </c>
      <c r="H140" s="3">
        <v>46366</v>
      </c>
      <c r="I140" s="5">
        <v>1136.43</v>
      </c>
      <c r="J140" t="s">
        <v>35</v>
      </c>
      <c r="K140" t="str">
        <f ca="1">IF(TODAY()&gt;H140,"Expired","Active")</f>
        <v>Active</v>
      </c>
    </row>
    <row r="141" spans="1:11" x14ac:dyDescent="0.25">
      <c r="A141" t="s">
        <v>1035</v>
      </c>
      <c r="B141" t="s">
        <v>11</v>
      </c>
      <c r="C141" t="s">
        <v>33</v>
      </c>
      <c r="D141" t="s">
        <v>1036</v>
      </c>
      <c r="E141" t="s">
        <v>37</v>
      </c>
      <c r="F141" t="s">
        <v>1037</v>
      </c>
      <c r="G141" s="3">
        <v>45284</v>
      </c>
      <c r="H141" s="3">
        <v>46380</v>
      </c>
      <c r="I141" s="5">
        <v>6290.38</v>
      </c>
      <c r="J141" t="s">
        <v>14</v>
      </c>
      <c r="K141" t="str">
        <f ca="1">IF(TODAY()&gt;H141,"Expired","Active")</f>
        <v>Active</v>
      </c>
    </row>
    <row r="142" spans="1:11" x14ac:dyDescent="0.25">
      <c r="A142" t="s">
        <v>1038</v>
      </c>
      <c r="B142" t="s">
        <v>11</v>
      </c>
      <c r="C142" t="s">
        <v>21</v>
      </c>
      <c r="D142" t="s">
        <v>1039</v>
      </c>
      <c r="E142" t="s">
        <v>13</v>
      </c>
      <c r="F142" t="s">
        <v>80</v>
      </c>
      <c r="G142" s="3">
        <v>45209</v>
      </c>
      <c r="H142" s="3">
        <v>46305</v>
      </c>
      <c r="I142" s="5">
        <v>3231.93</v>
      </c>
      <c r="J142" t="s">
        <v>19</v>
      </c>
      <c r="K142" t="str">
        <f ca="1">IF(TODAY()&gt;H142,"Expired","Active")</f>
        <v>Active</v>
      </c>
    </row>
    <row r="143" spans="1:11" x14ac:dyDescent="0.25">
      <c r="A143" t="s">
        <v>1040</v>
      </c>
      <c r="B143" t="s">
        <v>26</v>
      </c>
      <c r="C143" t="s">
        <v>42</v>
      </c>
      <c r="D143" t="s">
        <v>1041</v>
      </c>
      <c r="E143" t="s">
        <v>32</v>
      </c>
      <c r="F143" t="s">
        <v>1042</v>
      </c>
      <c r="G143" s="3">
        <v>45230</v>
      </c>
      <c r="H143" s="3">
        <v>45961</v>
      </c>
      <c r="I143" s="5">
        <v>936.76</v>
      </c>
      <c r="J143" t="s">
        <v>19</v>
      </c>
      <c r="K143" t="str">
        <f ca="1">IF(TODAY()&gt;H143,"Expired","Active")</f>
        <v>Expired</v>
      </c>
    </row>
    <row r="144" spans="1:11" x14ac:dyDescent="0.25">
      <c r="A144" t="s">
        <v>1043</v>
      </c>
      <c r="B144" t="s">
        <v>15</v>
      </c>
      <c r="C144" t="s">
        <v>77</v>
      </c>
      <c r="D144" t="s">
        <v>1044</v>
      </c>
      <c r="E144" t="s">
        <v>34</v>
      </c>
      <c r="F144" t="s">
        <v>1045</v>
      </c>
      <c r="G144" s="3">
        <v>45398</v>
      </c>
      <c r="H144" s="3">
        <v>45763</v>
      </c>
      <c r="I144" s="5">
        <v>539.19000000000005</v>
      </c>
      <c r="J144" t="s">
        <v>19</v>
      </c>
      <c r="K144" t="str">
        <f ca="1">IF(TODAY()&gt;H144,"Expired","Active")</f>
        <v>Expired</v>
      </c>
    </row>
    <row r="145" spans="1:11" x14ac:dyDescent="0.25">
      <c r="A145" t="s">
        <v>1046</v>
      </c>
      <c r="B145" t="s">
        <v>29</v>
      </c>
      <c r="C145" t="s">
        <v>53</v>
      </c>
      <c r="D145" t="s">
        <v>1047</v>
      </c>
      <c r="E145" t="s">
        <v>34</v>
      </c>
      <c r="F145" t="s">
        <v>1048</v>
      </c>
      <c r="G145" s="3">
        <v>45970</v>
      </c>
      <c r="H145" s="3">
        <v>46700</v>
      </c>
      <c r="I145" s="5">
        <v>7684.39</v>
      </c>
      <c r="J145" t="s">
        <v>35</v>
      </c>
      <c r="K145" t="str">
        <f ca="1">IF(TODAY()&gt;H145,"Expired","Active")</f>
        <v>Active</v>
      </c>
    </row>
    <row r="146" spans="1:11" x14ac:dyDescent="0.25">
      <c r="A146" t="s">
        <v>1049</v>
      </c>
      <c r="B146" t="s">
        <v>24</v>
      </c>
      <c r="C146" t="s">
        <v>58</v>
      </c>
      <c r="D146" t="s">
        <v>1050</v>
      </c>
      <c r="E146" t="s">
        <v>13</v>
      </c>
      <c r="F146" t="s">
        <v>1051</v>
      </c>
      <c r="G146" s="3">
        <v>45688</v>
      </c>
      <c r="H146" s="3">
        <v>46418</v>
      </c>
      <c r="I146" s="5">
        <v>1369.84</v>
      </c>
      <c r="J146" t="s">
        <v>23</v>
      </c>
      <c r="K146" t="str">
        <f ca="1">IF(TODAY()&gt;H146,"Expired","Active")</f>
        <v>Active</v>
      </c>
    </row>
    <row r="147" spans="1:11" x14ac:dyDescent="0.25">
      <c r="A147" t="s">
        <v>583</v>
      </c>
      <c r="B147" t="s">
        <v>24</v>
      </c>
      <c r="C147" t="s">
        <v>16</v>
      </c>
      <c r="D147" t="s">
        <v>1052</v>
      </c>
      <c r="E147" t="s">
        <v>32</v>
      </c>
      <c r="F147" t="s">
        <v>1053</v>
      </c>
      <c r="G147" s="3">
        <v>46064</v>
      </c>
      <c r="H147" s="3">
        <v>46794</v>
      </c>
      <c r="I147" s="5">
        <v>1354.09</v>
      </c>
      <c r="J147" t="s">
        <v>14</v>
      </c>
      <c r="K147" t="str">
        <f ca="1">IF(TODAY()&gt;H147,"Expired","Active")</f>
        <v>Active</v>
      </c>
    </row>
    <row r="148" spans="1:11" x14ac:dyDescent="0.25">
      <c r="A148" t="s">
        <v>1054</v>
      </c>
      <c r="B148" t="s">
        <v>26</v>
      </c>
      <c r="C148" t="s">
        <v>50</v>
      </c>
      <c r="D148" t="s">
        <v>1055</v>
      </c>
      <c r="E148" t="s">
        <v>39</v>
      </c>
      <c r="F148" t="s">
        <v>1056</v>
      </c>
      <c r="G148" s="3">
        <v>45217</v>
      </c>
      <c r="H148" s="3">
        <v>45583</v>
      </c>
      <c r="I148" s="5">
        <v>647.59</v>
      </c>
      <c r="J148" t="s">
        <v>19</v>
      </c>
      <c r="K148" t="str">
        <f ca="1">IF(TODAY()&gt;H148,"Expired","Active")</f>
        <v>Expired</v>
      </c>
    </row>
    <row r="149" spans="1:11" x14ac:dyDescent="0.25">
      <c r="A149" t="s">
        <v>1057</v>
      </c>
      <c r="B149" t="s">
        <v>20</v>
      </c>
      <c r="C149" t="s">
        <v>58</v>
      </c>
      <c r="D149" t="s">
        <v>1058</v>
      </c>
      <c r="E149" t="s">
        <v>32</v>
      </c>
      <c r="F149" t="s">
        <v>1059</v>
      </c>
      <c r="G149" s="3">
        <v>45471</v>
      </c>
      <c r="H149" s="3">
        <v>46566</v>
      </c>
      <c r="I149" s="5">
        <v>1693.84</v>
      </c>
      <c r="J149" t="s">
        <v>35</v>
      </c>
      <c r="K149" t="str">
        <f ca="1">IF(TODAY()&gt;H149,"Expired","Active")</f>
        <v>Active</v>
      </c>
    </row>
    <row r="150" spans="1:11" x14ac:dyDescent="0.25">
      <c r="A150" t="s">
        <v>1060</v>
      </c>
      <c r="B150" t="s">
        <v>11</v>
      </c>
      <c r="C150" t="s">
        <v>58</v>
      </c>
      <c r="D150" t="s">
        <v>1061</v>
      </c>
      <c r="E150" t="s">
        <v>13</v>
      </c>
      <c r="F150" t="s">
        <v>1062</v>
      </c>
      <c r="G150" s="3">
        <v>46055</v>
      </c>
      <c r="H150" s="3">
        <v>47151</v>
      </c>
      <c r="I150" s="5">
        <v>4086.07</v>
      </c>
      <c r="J150" t="s">
        <v>14</v>
      </c>
      <c r="K150" t="str">
        <f ca="1">IF(TODAY()&gt;H150,"Expired","Active")</f>
        <v>Active</v>
      </c>
    </row>
    <row r="151" spans="1:11" x14ac:dyDescent="0.25">
      <c r="A151" t="s">
        <v>81</v>
      </c>
      <c r="B151" t="s">
        <v>26</v>
      </c>
      <c r="C151" t="s">
        <v>51</v>
      </c>
      <c r="D151" t="s">
        <v>1063</v>
      </c>
      <c r="E151" t="s">
        <v>32</v>
      </c>
      <c r="F151" t="s">
        <v>82</v>
      </c>
      <c r="G151" s="3">
        <v>45382</v>
      </c>
      <c r="H151" s="3">
        <v>46112</v>
      </c>
      <c r="I151" s="5">
        <v>1027.1600000000001</v>
      </c>
      <c r="J151" t="s">
        <v>14</v>
      </c>
      <c r="K151" t="str">
        <f ca="1">IF(TODAY()&gt;H151,"Expired","Active")</f>
        <v>Expired</v>
      </c>
    </row>
    <row r="152" spans="1:11" x14ac:dyDescent="0.25">
      <c r="A152" t="s">
        <v>1064</v>
      </c>
      <c r="B152" t="s">
        <v>26</v>
      </c>
      <c r="C152" t="s">
        <v>38</v>
      </c>
      <c r="D152" t="s">
        <v>1065</v>
      </c>
      <c r="E152" t="s">
        <v>22</v>
      </c>
      <c r="F152" t="s">
        <v>584</v>
      </c>
      <c r="G152" s="3">
        <v>45941</v>
      </c>
      <c r="H152" s="3">
        <v>46671</v>
      </c>
      <c r="I152" s="5">
        <v>691.73</v>
      </c>
      <c r="J152" t="s">
        <v>19</v>
      </c>
      <c r="K152" t="str">
        <f ca="1">IF(TODAY()&gt;H152,"Expired","Active")</f>
        <v>Active</v>
      </c>
    </row>
    <row r="153" spans="1:11" x14ac:dyDescent="0.25">
      <c r="A153" t="s">
        <v>1066</v>
      </c>
      <c r="B153" t="s">
        <v>20</v>
      </c>
      <c r="C153" t="s">
        <v>50</v>
      </c>
      <c r="D153" t="s">
        <v>1067</v>
      </c>
      <c r="E153" t="s">
        <v>13</v>
      </c>
      <c r="F153" t="s">
        <v>1068</v>
      </c>
      <c r="G153" s="3">
        <v>45648</v>
      </c>
      <c r="H153" s="3">
        <v>46378</v>
      </c>
      <c r="I153" s="5">
        <v>1832.6</v>
      </c>
      <c r="J153" t="s">
        <v>19</v>
      </c>
      <c r="K153" t="str">
        <f ca="1">IF(TODAY()&gt;H153,"Expired","Active")</f>
        <v>Active</v>
      </c>
    </row>
    <row r="154" spans="1:11" x14ac:dyDescent="0.25">
      <c r="A154" t="s">
        <v>1069</v>
      </c>
      <c r="B154" t="s">
        <v>20</v>
      </c>
      <c r="C154" t="s">
        <v>28</v>
      </c>
      <c r="D154" t="s">
        <v>1070</v>
      </c>
      <c r="E154" t="s">
        <v>17</v>
      </c>
      <c r="F154" t="s">
        <v>1071</v>
      </c>
      <c r="G154" s="3">
        <v>45244</v>
      </c>
      <c r="H154" s="3">
        <v>45975</v>
      </c>
      <c r="I154" s="5">
        <v>1946.11</v>
      </c>
      <c r="J154" t="s">
        <v>14</v>
      </c>
      <c r="K154" t="str">
        <f ca="1">IF(TODAY()&gt;H154,"Expired","Active")</f>
        <v>Expired</v>
      </c>
    </row>
    <row r="155" spans="1:11" x14ac:dyDescent="0.25">
      <c r="A155" t="s">
        <v>1072</v>
      </c>
      <c r="B155" t="s">
        <v>26</v>
      </c>
      <c r="C155" t="s">
        <v>42</v>
      </c>
      <c r="D155" t="s">
        <v>1073</v>
      </c>
      <c r="E155" t="s">
        <v>22</v>
      </c>
      <c r="F155" t="s">
        <v>1074</v>
      </c>
      <c r="G155" s="3">
        <v>45359</v>
      </c>
      <c r="H155" s="3">
        <v>45724</v>
      </c>
      <c r="I155" s="5">
        <v>631</v>
      </c>
      <c r="J155" t="s">
        <v>23</v>
      </c>
      <c r="K155" t="str">
        <f ca="1">IF(TODAY()&gt;H155,"Expired","Active")</f>
        <v>Expired</v>
      </c>
    </row>
    <row r="156" spans="1:11" x14ac:dyDescent="0.25">
      <c r="A156" t="s">
        <v>1075</v>
      </c>
      <c r="B156" t="s">
        <v>29</v>
      </c>
      <c r="C156" t="s">
        <v>30</v>
      </c>
      <c r="D156" t="s">
        <v>1076</v>
      </c>
      <c r="E156" t="s">
        <v>37</v>
      </c>
      <c r="F156" t="s">
        <v>585</v>
      </c>
      <c r="G156" s="3">
        <v>45950</v>
      </c>
      <c r="H156" s="3">
        <v>46315</v>
      </c>
      <c r="I156" s="5">
        <v>10167.85</v>
      </c>
      <c r="J156" t="s">
        <v>23</v>
      </c>
      <c r="K156" t="str">
        <f ca="1">IF(TODAY()&gt;H156,"Expired","Active")</f>
        <v>Active</v>
      </c>
    </row>
    <row r="157" spans="1:11" x14ac:dyDescent="0.25">
      <c r="A157" t="s">
        <v>1077</v>
      </c>
      <c r="B157" t="s">
        <v>15</v>
      </c>
      <c r="C157" t="s">
        <v>36</v>
      </c>
      <c r="D157" t="s">
        <v>1078</v>
      </c>
      <c r="E157" t="s">
        <v>39</v>
      </c>
      <c r="F157" t="s">
        <v>1079</v>
      </c>
      <c r="G157" s="3">
        <v>45326</v>
      </c>
      <c r="H157" s="3">
        <v>46057</v>
      </c>
      <c r="I157" s="5">
        <v>513.20000000000005</v>
      </c>
      <c r="J157" t="s">
        <v>19</v>
      </c>
      <c r="K157" t="str">
        <f ca="1">IF(TODAY()&gt;H157,"Expired","Active")</f>
        <v>Expired</v>
      </c>
    </row>
    <row r="158" spans="1:11" x14ac:dyDescent="0.25">
      <c r="A158" t="s">
        <v>1080</v>
      </c>
      <c r="B158" t="s">
        <v>11</v>
      </c>
      <c r="C158" t="s">
        <v>48</v>
      </c>
      <c r="D158" t="s">
        <v>1081</v>
      </c>
      <c r="E158" t="s">
        <v>39</v>
      </c>
      <c r="F158" t="s">
        <v>1082</v>
      </c>
      <c r="G158" s="3">
        <v>45371</v>
      </c>
      <c r="H158" s="3">
        <v>45736</v>
      </c>
      <c r="I158" s="5">
        <v>6113.39</v>
      </c>
      <c r="J158" t="s">
        <v>35</v>
      </c>
      <c r="K158" t="str">
        <f ca="1">IF(TODAY()&gt;H158,"Expired","Active")</f>
        <v>Expired</v>
      </c>
    </row>
    <row r="159" spans="1:11" x14ac:dyDescent="0.25">
      <c r="A159" t="s">
        <v>1083</v>
      </c>
      <c r="B159" t="s">
        <v>29</v>
      </c>
      <c r="C159" t="s">
        <v>21</v>
      </c>
      <c r="D159" t="s">
        <v>1084</v>
      </c>
      <c r="E159" t="s">
        <v>39</v>
      </c>
      <c r="F159" t="s">
        <v>1085</v>
      </c>
      <c r="G159" s="3">
        <v>45437</v>
      </c>
      <c r="H159" s="3">
        <v>46167</v>
      </c>
      <c r="I159" s="5">
        <v>9054.86</v>
      </c>
      <c r="J159" t="s">
        <v>23</v>
      </c>
      <c r="K159" t="str">
        <f ca="1">IF(TODAY()&gt;H159,"Expired","Active")</f>
        <v>Active</v>
      </c>
    </row>
    <row r="160" spans="1:11" x14ac:dyDescent="0.25">
      <c r="A160" t="s">
        <v>1086</v>
      </c>
      <c r="B160" t="s">
        <v>15</v>
      </c>
      <c r="C160" t="s">
        <v>56</v>
      </c>
      <c r="D160" t="s">
        <v>1087</v>
      </c>
      <c r="E160" t="s">
        <v>17</v>
      </c>
      <c r="F160" t="s">
        <v>1088</v>
      </c>
      <c r="G160" s="3">
        <v>45632</v>
      </c>
      <c r="H160" s="3">
        <v>46727</v>
      </c>
      <c r="I160" s="5">
        <v>436.19</v>
      </c>
      <c r="J160" t="s">
        <v>14</v>
      </c>
      <c r="K160" t="str">
        <f ca="1">IF(TODAY()&gt;H160,"Expired","Active")</f>
        <v>Active</v>
      </c>
    </row>
    <row r="161" spans="1:11" x14ac:dyDescent="0.25">
      <c r="A161" t="s">
        <v>1089</v>
      </c>
      <c r="B161" t="s">
        <v>11</v>
      </c>
      <c r="C161" t="s">
        <v>53</v>
      </c>
      <c r="D161" t="s">
        <v>1090</v>
      </c>
      <c r="E161" t="s">
        <v>22</v>
      </c>
      <c r="F161" t="s">
        <v>1091</v>
      </c>
      <c r="G161" s="3">
        <v>46031</v>
      </c>
      <c r="H161" s="3">
        <v>46396</v>
      </c>
      <c r="I161" s="5">
        <v>5422.98</v>
      </c>
      <c r="J161" t="s">
        <v>35</v>
      </c>
      <c r="K161" t="str">
        <f ca="1">IF(TODAY()&gt;H161,"Expired","Active")</f>
        <v>Active</v>
      </c>
    </row>
    <row r="162" spans="1:11" x14ac:dyDescent="0.25">
      <c r="A162" t="s">
        <v>1092</v>
      </c>
      <c r="B162" t="s">
        <v>26</v>
      </c>
      <c r="C162" t="s">
        <v>52</v>
      </c>
      <c r="D162" t="s">
        <v>1093</v>
      </c>
      <c r="E162" t="s">
        <v>22</v>
      </c>
      <c r="F162" t="s">
        <v>1094</v>
      </c>
      <c r="G162" s="3">
        <v>46036</v>
      </c>
      <c r="H162" s="3">
        <v>46401</v>
      </c>
      <c r="I162" s="5">
        <v>860.9</v>
      </c>
      <c r="J162" t="s">
        <v>19</v>
      </c>
      <c r="K162" t="str">
        <f ca="1">IF(TODAY()&gt;H162,"Expired","Active")</f>
        <v>Active</v>
      </c>
    </row>
    <row r="163" spans="1:11" x14ac:dyDescent="0.25">
      <c r="A163" t="s">
        <v>1095</v>
      </c>
      <c r="B163" t="s">
        <v>20</v>
      </c>
      <c r="C163" t="s">
        <v>77</v>
      </c>
      <c r="D163" t="s">
        <v>1096</v>
      </c>
      <c r="E163" t="s">
        <v>39</v>
      </c>
      <c r="F163" t="s">
        <v>1097</v>
      </c>
      <c r="G163" s="3">
        <v>45728</v>
      </c>
      <c r="H163" s="3">
        <v>46458</v>
      </c>
      <c r="I163" s="5">
        <v>1211.26</v>
      </c>
      <c r="J163" t="s">
        <v>14</v>
      </c>
      <c r="K163" t="str">
        <f ca="1">IF(TODAY()&gt;H163,"Expired","Active")</f>
        <v>Active</v>
      </c>
    </row>
    <row r="164" spans="1:11" x14ac:dyDescent="0.25">
      <c r="A164" t="s">
        <v>586</v>
      </c>
      <c r="B164" t="s">
        <v>11</v>
      </c>
      <c r="C164" t="s">
        <v>60</v>
      </c>
      <c r="D164" t="s">
        <v>1098</v>
      </c>
      <c r="E164" t="s">
        <v>22</v>
      </c>
      <c r="F164" t="s">
        <v>587</v>
      </c>
      <c r="G164" s="3">
        <v>45386</v>
      </c>
      <c r="H164" s="3">
        <v>45751</v>
      </c>
      <c r="I164" s="5">
        <v>5253.87</v>
      </c>
      <c r="J164" t="s">
        <v>19</v>
      </c>
      <c r="K164" t="str">
        <f ca="1">IF(TODAY()&gt;H164,"Expired","Active")</f>
        <v>Expired</v>
      </c>
    </row>
    <row r="165" spans="1:11" x14ac:dyDescent="0.25">
      <c r="A165" t="s">
        <v>1099</v>
      </c>
      <c r="B165" t="s">
        <v>26</v>
      </c>
      <c r="C165" t="s">
        <v>16</v>
      </c>
      <c r="D165" t="s">
        <v>1100</v>
      </c>
      <c r="E165" t="s">
        <v>17</v>
      </c>
      <c r="F165" t="s">
        <v>1101</v>
      </c>
      <c r="G165" s="3">
        <v>45397</v>
      </c>
      <c r="H165" s="3">
        <v>45762</v>
      </c>
      <c r="I165" s="5">
        <v>931.42</v>
      </c>
      <c r="J165" t="s">
        <v>19</v>
      </c>
      <c r="K165" t="str">
        <f ca="1">IF(TODAY()&gt;H165,"Expired","Active")</f>
        <v>Expired</v>
      </c>
    </row>
    <row r="166" spans="1:11" x14ac:dyDescent="0.25">
      <c r="A166" t="s">
        <v>1102</v>
      </c>
      <c r="B166" t="s">
        <v>26</v>
      </c>
      <c r="C166" t="s">
        <v>69</v>
      </c>
      <c r="D166" t="s">
        <v>1103</v>
      </c>
      <c r="E166" t="s">
        <v>34</v>
      </c>
      <c r="F166" t="s">
        <v>1104</v>
      </c>
      <c r="G166" s="3">
        <v>46015</v>
      </c>
      <c r="H166" s="3">
        <v>47111</v>
      </c>
      <c r="I166" s="5">
        <v>1179.1300000000001</v>
      </c>
      <c r="J166" t="s">
        <v>14</v>
      </c>
      <c r="K166" t="str">
        <f ca="1">IF(TODAY()&gt;H166,"Expired","Active")</f>
        <v>Active</v>
      </c>
    </row>
    <row r="167" spans="1:11" x14ac:dyDescent="0.25">
      <c r="A167" t="s">
        <v>1105</v>
      </c>
      <c r="B167" t="s">
        <v>11</v>
      </c>
      <c r="C167" t="s">
        <v>77</v>
      </c>
      <c r="D167" t="s">
        <v>1106</v>
      </c>
      <c r="E167" t="s">
        <v>22</v>
      </c>
      <c r="F167" t="s">
        <v>1107</v>
      </c>
      <c r="G167" s="3">
        <v>45766</v>
      </c>
      <c r="H167" s="3">
        <v>46131</v>
      </c>
      <c r="I167" s="5">
        <v>4271.59</v>
      </c>
      <c r="J167" t="s">
        <v>14</v>
      </c>
      <c r="K167" t="str">
        <f ca="1">IF(TODAY()&gt;H167,"Expired","Active")</f>
        <v>Active</v>
      </c>
    </row>
    <row r="168" spans="1:11" x14ac:dyDescent="0.25">
      <c r="A168" t="s">
        <v>1108</v>
      </c>
      <c r="B168" t="s">
        <v>20</v>
      </c>
      <c r="C168" t="s">
        <v>56</v>
      </c>
      <c r="D168" t="s">
        <v>1109</v>
      </c>
      <c r="E168" t="s">
        <v>32</v>
      </c>
      <c r="F168" t="s">
        <v>1110</v>
      </c>
      <c r="G168" s="3">
        <v>45529</v>
      </c>
      <c r="H168" s="3">
        <v>45894</v>
      </c>
      <c r="I168" s="5">
        <v>985.15</v>
      </c>
      <c r="J168" t="s">
        <v>14</v>
      </c>
      <c r="K168" t="str">
        <f ca="1">IF(TODAY()&gt;H168,"Expired","Active")</f>
        <v>Expired</v>
      </c>
    </row>
    <row r="169" spans="1:11" x14ac:dyDescent="0.25">
      <c r="A169" t="s">
        <v>1111</v>
      </c>
      <c r="B169" t="s">
        <v>15</v>
      </c>
      <c r="C169" t="s">
        <v>55</v>
      </c>
      <c r="D169" t="s">
        <v>1112</v>
      </c>
      <c r="E169" t="s">
        <v>37</v>
      </c>
      <c r="F169" t="s">
        <v>83</v>
      </c>
      <c r="G169" s="3">
        <v>45639</v>
      </c>
      <c r="H169" s="3">
        <v>46004</v>
      </c>
      <c r="I169" s="5">
        <v>531.04</v>
      </c>
      <c r="J169" t="s">
        <v>23</v>
      </c>
      <c r="K169" t="str">
        <f ca="1">IF(TODAY()&gt;H169,"Expired","Active")</f>
        <v>Expired</v>
      </c>
    </row>
    <row r="170" spans="1:11" x14ac:dyDescent="0.25">
      <c r="A170" t="s">
        <v>1113</v>
      </c>
      <c r="B170" t="s">
        <v>26</v>
      </c>
      <c r="C170" t="s">
        <v>30</v>
      </c>
      <c r="D170" t="s">
        <v>1114</v>
      </c>
      <c r="E170" t="s">
        <v>32</v>
      </c>
      <c r="F170" t="s">
        <v>1115</v>
      </c>
      <c r="G170" s="3">
        <v>45780</v>
      </c>
      <c r="H170" s="3">
        <v>46510</v>
      </c>
      <c r="I170" s="5">
        <v>1004.62</v>
      </c>
      <c r="J170" t="s">
        <v>14</v>
      </c>
      <c r="K170" t="str">
        <f ca="1">IF(TODAY()&gt;H170,"Expired","Active")</f>
        <v>Active</v>
      </c>
    </row>
    <row r="171" spans="1:11" x14ac:dyDescent="0.25">
      <c r="A171" t="s">
        <v>1116</v>
      </c>
      <c r="B171" t="s">
        <v>20</v>
      </c>
      <c r="C171" t="s">
        <v>16</v>
      </c>
      <c r="D171" t="s">
        <v>1117</v>
      </c>
      <c r="E171" t="s">
        <v>13</v>
      </c>
      <c r="F171" t="s">
        <v>84</v>
      </c>
      <c r="G171" s="3">
        <v>45174</v>
      </c>
      <c r="H171" s="3">
        <v>45540</v>
      </c>
      <c r="I171" s="5">
        <v>1708.71</v>
      </c>
      <c r="J171" t="s">
        <v>19</v>
      </c>
      <c r="K171" t="str">
        <f ca="1">IF(TODAY()&gt;H171,"Expired","Active")</f>
        <v>Expired</v>
      </c>
    </row>
    <row r="172" spans="1:11" x14ac:dyDescent="0.25">
      <c r="A172" t="s">
        <v>1118</v>
      </c>
      <c r="B172" t="s">
        <v>29</v>
      </c>
      <c r="C172" t="s">
        <v>49</v>
      </c>
      <c r="D172" t="s">
        <v>1119</v>
      </c>
      <c r="E172" t="s">
        <v>39</v>
      </c>
      <c r="F172" t="s">
        <v>1120</v>
      </c>
      <c r="G172" s="3">
        <v>45943</v>
      </c>
      <c r="H172" s="3">
        <v>46673</v>
      </c>
      <c r="I172" s="5">
        <v>8737.83</v>
      </c>
      <c r="J172" t="s">
        <v>23</v>
      </c>
      <c r="K172" t="str">
        <f ca="1">IF(TODAY()&gt;H172,"Expired","Active")</f>
        <v>Active</v>
      </c>
    </row>
    <row r="173" spans="1:11" x14ac:dyDescent="0.25">
      <c r="A173" t="s">
        <v>1121</v>
      </c>
      <c r="B173" t="s">
        <v>24</v>
      </c>
      <c r="C173" t="s">
        <v>60</v>
      </c>
      <c r="D173" t="s">
        <v>1122</v>
      </c>
      <c r="E173" t="s">
        <v>37</v>
      </c>
      <c r="F173" t="s">
        <v>1123</v>
      </c>
      <c r="G173" s="3">
        <v>45322</v>
      </c>
      <c r="H173" s="3">
        <v>45688</v>
      </c>
      <c r="I173" s="5">
        <v>1921.98</v>
      </c>
      <c r="J173" t="s">
        <v>35</v>
      </c>
      <c r="K173" t="str">
        <f ca="1">IF(TODAY()&gt;H173,"Expired","Active")</f>
        <v>Expired</v>
      </c>
    </row>
    <row r="174" spans="1:11" x14ac:dyDescent="0.25">
      <c r="A174" t="s">
        <v>1124</v>
      </c>
      <c r="B174" t="s">
        <v>29</v>
      </c>
      <c r="C174" t="s">
        <v>30</v>
      </c>
      <c r="D174" t="s">
        <v>1125</v>
      </c>
      <c r="E174" t="s">
        <v>34</v>
      </c>
      <c r="F174" t="s">
        <v>85</v>
      </c>
      <c r="G174" s="3">
        <v>45355</v>
      </c>
      <c r="H174" s="3">
        <v>46085</v>
      </c>
      <c r="I174" s="5">
        <v>7403.17</v>
      </c>
      <c r="J174" t="s">
        <v>35</v>
      </c>
      <c r="K174" t="str">
        <f ca="1">IF(TODAY()&gt;H174,"Expired","Active")</f>
        <v>Expired</v>
      </c>
    </row>
    <row r="175" spans="1:11" x14ac:dyDescent="0.25">
      <c r="A175" t="s">
        <v>86</v>
      </c>
      <c r="B175" t="s">
        <v>20</v>
      </c>
      <c r="C175" t="s">
        <v>41</v>
      </c>
      <c r="D175" t="s">
        <v>1126</v>
      </c>
      <c r="E175" t="s">
        <v>22</v>
      </c>
      <c r="F175" t="s">
        <v>1127</v>
      </c>
      <c r="G175" s="3">
        <v>45150</v>
      </c>
      <c r="H175" s="3">
        <v>45516</v>
      </c>
      <c r="I175" s="5">
        <v>818.9</v>
      </c>
      <c r="J175" t="s">
        <v>35</v>
      </c>
      <c r="K175" t="str">
        <f ca="1">IF(TODAY()&gt;H175,"Expired","Active")</f>
        <v>Expired</v>
      </c>
    </row>
    <row r="176" spans="1:11" x14ac:dyDescent="0.25">
      <c r="A176" t="s">
        <v>1128</v>
      </c>
      <c r="B176" t="s">
        <v>26</v>
      </c>
      <c r="C176" t="s">
        <v>38</v>
      </c>
      <c r="D176" t="s">
        <v>1129</v>
      </c>
      <c r="E176" t="s">
        <v>17</v>
      </c>
      <c r="F176" t="s">
        <v>588</v>
      </c>
      <c r="G176" s="3">
        <v>45440</v>
      </c>
      <c r="H176" s="3">
        <v>46170</v>
      </c>
      <c r="I176" s="5">
        <v>629.33000000000004</v>
      </c>
      <c r="J176" t="s">
        <v>35</v>
      </c>
      <c r="K176" t="str">
        <f ca="1">IF(TODAY()&gt;H176,"Expired","Active")</f>
        <v>Active</v>
      </c>
    </row>
    <row r="177" spans="1:11" x14ac:dyDescent="0.25">
      <c r="A177" t="s">
        <v>1130</v>
      </c>
      <c r="B177" t="s">
        <v>29</v>
      </c>
      <c r="C177" t="s">
        <v>42</v>
      </c>
      <c r="D177" t="s">
        <v>1131</v>
      </c>
      <c r="E177" t="s">
        <v>32</v>
      </c>
      <c r="F177" t="s">
        <v>1132</v>
      </c>
      <c r="G177" s="3">
        <v>45095</v>
      </c>
      <c r="H177" s="3">
        <v>46191</v>
      </c>
      <c r="I177" s="5">
        <v>4857.51</v>
      </c>
      <c r="J177" t="s">
        <v>35</v>
      </c>
      <c r="K177" t="str">
        <f ca="1">IF(TODAY()&gt;H177,"Expired","Active")</f>
        <v>Active</v>
      </c>
    </row>
    <row r="178" spans="1:11" x14ac:dyDescent="0.25">
      <c r="A178" t="s">
        <v>1133</v>
      </c>
      <c r="B178" t="s">
        <v>20</v>
      </c>
      <c r="C178" t="s">
        <v>66</v>
      </c>
      <c r="D178" t="s">
        <v>1134</v>
      </c>
      <c r="E178" t="s">
        <v>34</v>
      </c>
      <c r="F178" t="s">
        <v>1135</v>
      </c>
      <c r="G178" s="3">
        <v>45190</v>
      </c>
      <c r="H178" s="3">
        <v>45921</v>
      </c>
      <c r="I178" s="5">
        <v>1789.47</v>
      </c>
      <c r="J178" t="s">
        <v>23</v>
      </c>
      <c r="K178" t="str">
        <f ca="1">IF(TODAY()&gt;H178,"Expired","Active")</f>
        <v>Expired</v>
      </c>
    </row>
    <row r="179" spans="1:11" x14ac:dyDescent="0.25">
      <c r="A179" t="s">
        <v>1136</v>
      </c>
      <c r="B179" t="s">
        <v>29</v>
      </c>
      <c r="C179" t="s">
        <v>51</v>
      </c>
      <c r="D179" t="s">
        <v>1137</v>
      </c>
      <c r="E179" t="s">
        <v>22</v>
      </c>
      <c r="F179" t="s">
        <v>1138</v>
      </c>
      <c r="G179" s="3">
        <v>45308</v>
      </c>
      <c r="H179" s="3">
        <v>46039</v>
      </c>
      <c r="I179" s="5">
        <v>3866.18</v>
      </c>
      <c r="J179" t="s">
        <v>19</v>
      </c>
      <c r="K179" t="str">
        <f ca="1">IF(TODAY()&gt;H179,"Expired","Active")</f>
        <v>Expired</v>
      </c>
    </row>
    <row r="180" spans="1:11" x14ac:dyDescent="0.25">
      <c r="A180" t="s">
        <v>1139</v>
      </c>
      <c r="B180" t="s">
        <v>20</v>
      </c>
      <c r="C180" t="s">
        <v>47</v>
      </c>
      <c r="D180" t="s">
        <v>1140</v>
      </c>
      <c r="E180" t="s">
        <v>22</v>
      </c>
      <c r="F180" t="s">
        <v>589</v>
      </c>
      <c r="G180" s="3">
        <v>45233</v>
      </c>
      <c r="H180" s="3">
        <v>45599</v>
      </c>
      <c r="I180" s="5">
        <v>1381.41</v>
      </c>
      <c r="J180" t="s">
        <v>23</v>
      </c>
      <c r="K180" t="str">
        <f ca="1">IF(TODAY()&gt;H180,"Expired","Active")</f>
        <v>Expired</v>
      </c>
    </row>
    <row r="181" spans="1:11" x14ac:dyDescent="0.25">
      <c r="A181" t="s">
        <v>1141</v>
      </c>
      <c r="B181" t="s">
        <v>20</v>
      </c>
      <c r="C181" t="s">
        <v>62</v>
      </c>
      <c r="D181" t="s">
        <v>1142</v>
      </c>
      <c r="E181" t="s">
        <v>34</v>
      </c>
      <c r="F181" t="s">
        <v>1143</v>
      </c>
      <c r="G181" s="3">
        <v>45479</v>
      </c>
      <c r="H181" s="3">
        <v>46574</v>
      </c>
      <c r="I181" s="5">
        <v>1040.01</v>
      </c>
      <c r="J181" t="s">
        <v>14</v>
      </c>
      <c r="K181" t="str">
        <f ca="1">IF(TODAY()&gt;H181,"Expired","Active")</f>
        <v>Active</v>
      </c>
    </row>
    <row r="182" spans="1:11" x14ac:dyDescent="0.25">
      <c r="A182" t="s">
        <v>1144</v>
      </c>
      <c r="B182" t="s">
        <v>26</v>
      </c>
      <c r="C182" t="s">
        <v>16</v>
      </c>
      <c r="D182" t="s">
        <v>1145</v>
      </c>
      <c r="E182" t="s">
        <v>34</v>
      </c>
      <c r="F182" t="s">
        <v>1146</v>
      </c>
      <c r="G182" s="3">
        <v>45667</v>
      </c>
      <c r="H182" s="3">
        <v>46397</v>
      </c>
      <c r="I182" s="5">
        <v>1004.65</v>
      </c>
      <c r="J182" t="s">
        <v>23</v>
      </c>
      <c r="K182" t="str">
        <f ca="1">IF(TODAY()&gt;H182,"Expired","Active")</f>
        <v>Active</v>
      </c>
    </row>
    <row r="183" spans="1:11" x14ac:dyDescent="0.25">
      <c r="A183" t="s">
        <v>1147</v>
      </c>
      <c r="B183" t="s">
        <v>11</v>
      </c>
      <c r="C183" t="s">
        <v>72</v>
      </c>
      <c r="D183" t="s">
        <v>1148</v>
      </c>
      <c r="E183" t="s">
        <v>37</v>
      </c>
      <c r="F183" t="s">
        <v>590</v>
      </c>
      <c r="G183" s="3">
        <v>45705</v>
      </c>
      <c r="H183" s="3">
        <v>46435</v>
      </c>
      <c r="I183" s="5">
        <v>6903.47</v>
      </c>
      <c r="J183" t="s">
        <v>14</v>
      </c>
      <c r="K183" t="str">
        <f ca="1">IF(TODAY()&gt;H183,"Expired","Active")</f>
        <v>Active</v>
      </c>
    </row>
    <row r="184" spans="1:11" x14ac:dyDescent="0.25">
      <c r="A184" t="s">
        <v>1149</v>
      </c>
      <c r="B184" t="s">
        <v>11</v>
      </c>
      <c r="C184" t="s">
        <v>55</v>
      </c>
      <c r="D184" t="s">
        <v>1150</v>
      </c>
      <c r="E184" t="s">
        <v>39</v>
      </c>
      <c r="F184" t="s">
        <v>87</v>
      </c>
      <c r="G184" s="3">
        <v>45568</v>
      </c>
      <c r="H184" s="3">
        <v>46663</v>
      </c>
      <c r="I184" s="5">
        <v>2317.38</v>
      </c>
      <c r="J184" t="s">
        <v>14</v>
      </c>
      <c r="K184" t="str">
        <f ca="1">IF(TODAY()&gt;H184,"Expired","Active")</f>
        <v>Active</v>
      </c>
    </row>
    <row r="185" spans="1:11" x14ac:dyDescent="0.25">
      <c r="A185" t="s">
        <v>591</v>
      </c>
      <c r="B185" t="s">
        <v>20</v>
      </c>
      <c r="C185" t="s">
        <v>55</v>
      </c>
      <c r="D185" t="s">
        <v>1151</v>
      </c>
      <c r="E185" t="s">
        <v>13</v>
      </c>
      <c r="F185" t="s">
        <v>1152</v>
      </c>
      <c r="G185" s="3">
        <v>45486</v>
      </c>
      <c r="H185" s="3">
        <v>46581</v>
      </c>
      <c r="I185" s="5">
        <v>1732.37</v>
      </c>
      <c r="J185" t="s">
        <v>19</v>
      </c>
      <c r="K185" t="str">
        <f ca="1">IF(TODAY()&gt;H185,"Expired","Active")</f>
        <v>Active</v>
      </c>
    </row>
    <row r="186" spans="1:11" x14ac:dyDescent="0.25">
      <c r="A186" t="s">
        <v>1153</v>
      </c>
      <c r="B186" t="s">
        <v>29</v>
      </c>
      <c r="C186" t="s">
        <v>58</v>
      </c>
      <c r="D186" t="s">
        <v>1154</v>
      </c>
      <c r="E186" t="s">
        <v>13</v>
      </c>
      <c r="F186" t="s">
        <v>88</v>
      </c>
      <c r="G186" s="3">
        <v>45233</v>
      </c>
      <c r="H186" s="3">
        <v>45599</v>
      </c>
      <c r="I186" s="5">
        <v>10915.32</v>
      </c>
      <c r="J186" t="s">
        <v>35</v>
      </c>
      <c r="K186" t="str">
        <f ca="1">IF(TODAY()&gt;H186,"Expired","Active")</f>
        <v>Expired</v>
      </c>
    </row>
    <row r="187" spans="1:11" x14ac:dyDescent="0.25">
      <c r="A187" t="s">
        <v>1155</v>
      </c>
      <c r="B187" t="s">
        <v>15</v>
      </c>
      <c r="C187" t="s">
        <v>60</v>
      </c>
      <c r="D187" t="s">
        <v>1156</v>
      </c>
      <c r="E187" t="s">
        <v>17</v>
      </c>
      <c r="F187" t="s">
        <v>1157</v>
      </c>
      <c r="G187" s="3">
        <v>45329</v>
      </c>
      <c r="H187" s="3">
        <v>46060</v>
      </c>
      <c r="I187" s="5">
        <v>1029.5</v>
      </c>
      <c r="J187" t="s">
        <v>19</v>
      </c>
      <c r="K187" t="str">
        <f ca="1">IF(TODAY()&gt;H187,"Expired","Active")</f>
        <v>Expired</v>
      </c>
    </row>
    <row r="188" spans="1:11" x14ac:dyDescent="0.25">
      <c r="A188" t="s">
        <v>1158</v>
      </c>
      <c r="B188" t="s">
        <v>26</v>
      </c>
      <c r="C188" t="s">
        <v>49</v>
      </c>
      <c r="D188" t="s">
        <v>1159</v>
      </c>
      <c r="E188" t="s">
        <v>37</v>
      </c>
      <c r="F188" t="s">
        <v>1160</v>
      </c>
      <c r="G188" s="3">
        <v>45365</v>
      </c>
      <c r="H188" s="3">
        <v>45730</v>
      </c>
      <c r="I188" s="5">
        <v>1076.93</v>
      </c>
      <c r="J188" t="s">
        <v>23</v>
      </c>
      <c r="K188" t="str">
        <f ca="1">IF(TODAY()&gt;H188,"Expired","Active")</f>
        <v>Expired</v>
      </c>
    </row>
    <row r="189" spans="1:11" x14ac:dyDescent="0.25">
      <c r="A189" t="s">
        <v>1161</v>
      </c>
      <c r="B189" t="s">
        <v>15</v>
      </c>
      <c r="C189" t="s">
        <v>60</v>
      </c>
      <c r="D189" t="s">
        <v>1162</v>
      </c>
      <c r="E189" t="s">
        <v>13</v>
      </c>
      <c r="F189" t="s">
        <v>592</v>
      </c>
      <c r="G189" s="3">
        <v>45336</v>
      </c>
      <c r="H189" s="3">
        <v>46067</v>
      </c>
      <c r="I189" s="5">
        <v>968.96</v>
      </c>
      <c r="J189" t="s">
        <v>19</v>
      </c>
      <c r="K189" t="str">
        <f ca="1">IF(TODAY()&gt;H189,"Expired","Active")</f>
        <v>Expired</v>
      </c>
    </row>
    <row r="190" spans="1:11" x14ac:dyDescent="0.25">
      <c r="A190" t="s">
        <v>1163</v>
      </c>
      <c r="B190" t="s">
        <v>20</v>
      </c>
      <c r="C190" t="s">
        <v>41</v>
      </c>
      <c r="D190" t="s">
        <v>1164</v>
      </c>
      <c r="E190" t="s">
        <v>13</v>
      </c>
      <c r="F190" t="s">
        <v>1165</v>
      </c>
      <c r="G190" s="3">
        <v>45926</v>
      </c>
      <c r="H190" s="3">
        <v>47022</v>
      </c>
      <c r="I190" s="5">
        <v>1938.89</v>
      </c>
      <c r="J190" t="s">
        <v>19</v>
      </c>
      <c r="K190" t="str">
        <f ca="1">IF(TODAY()&gt;H190,"Expired","Active")</f>
        <v>Active</v>
      </c>
    </row>
    <row r="191" spans="1:11" x14ac:dyDescent="0.25">
      <c r="A191" t="s">
        <v>1166</v>
      </c>
      <c r="B191" t="s">
        <v>29</v>
      </c>
      <c r="C191" t="s">
        <v>42</v>
      </c>
      <c r="D191" t="s">
        <v>1167</v>
      </c>
      <c r="E191" t="s">
        <v>32</v>
      </c>
      <c r="F191" t="s">
        <v>1168</v>
      </c>
      <c r="G191" s="3">
        <v>45768</v>
      </c>
      <c r="H191" s="3">
        <v>46864</v>
      </c>
      <c r="I191" s="5">
        <v>3734.68</v>
      </c>
      <c r="J191" t="s">
        <v>14</v>
      </c>
      <c r="K191" t="str">
        <f ca="1">IF(TODAY()&gt;H191,"Expired","Active")</f>
        <v>Active</v>
      </c>
    </row>
    <row r="192" spans="1:11" x14ac:dyDescent="0.25">
      <c r="A192" t="s">
        <v>593</v>
      </c>
      <c r="B192" t="s">
        <v>26</v>
      </c>
      <c r="C192" t="s">
        <v>51</v>
      </c>
      <c r="D192" t="s">
        <v>1169</v>
      </c>
      <c r="E192" t="s">
        <v>13</v>
      </c>
      <c r="F192" t="s">
        <v>1170</v>
      </c>
      <c r="G192" s="3">
        <v>45963</v>
      </c>
      <c r="H192" s="3">
        <v>46693</v>
      </c>
      <c r="I192" s="5">
        <v>1078.9100000000001</v>
      </c>
      <c r="J192" t="s">
        <v>35</v>
      </c>
      <c r="K192" t="str">
        <f ca="1">IF(TODAY()&gt;H192,"Expired","Active")</f>
        <v>Active</v>
      </c>
    </row>
    <row r="193" spans="1:11" x14ac:dyDescent="0.25">
      <c r="A193" t="s">
        <v>1171</v>
      </c>
      <c r="B193" t="s">
        <v>24</v>
      </c>
      <c r="C193" t="s">
        <v>27</v>
      </c>
      <c r="D193" t="s">
        <v>1172</v>
      </c>
      <c r="E193" t="s">
        <v>37</v>
      </c>
      <c r="F193" t="s">
        <v>1173</v>
      </c>
      <c r="G193" s="3">
        <v>45621</v>
      </c>
      <c r="H193" s="3">
        <v>46351</v>
      </c>
      <c r="I193" s="5">
        <v>1716.18</v>
      </c>
      <c r="J193" t="s">
        <v>35</v>
      </c>
      <c r="K193" t="str">
        <f ca="1">IF(TODAY()&gt;H193,"Expired","Active")</f>
        <v>Active</v>
      </c>
    </row>
    <row r="194" spans="1:11" x14ac:dyDescent="0.25">
      <c r="A194" t="s">
        <v>1174</v>
      </c>
      <c r="B194" t="s">
        <v>24</v>
      </c>
      <c r="C194" t="s">
        <v>48</v>
      </c>
      <c r="D194" t="s">
        <v>1175</v>
      </c>
      <c r="E194" t="s">
        <v>17</v>
      </c>
      <c r="F194" t="s">
        <v>89</v>
      </c>
      <c r="G194" s="3">
        <v>45491</v>
      </c>
      <c r="H194" s="3">
        <v>45856</v>
      </c>
      <c r="I194" s="5">
        <v>1296.27</v>
      </c>
      <c r="J194" t="s">
        <v>35</v>
      </c>
      <c r="K194" t="str">
        <f ca="1">IF(TODAY()&gt;H194,"Expired","Active")</f>
        <v>Expired</v>
      </c>
    </row>
    <row r="195" spans="1:11" x14ac:dyDescent="0.25">
      <c r="A195" t="s">
        <v>1176</v>
      </c>
      <c r="B195" t="s">
        <v>15</v>
      </c>
      <c r="C195" t="s">
        <v>31</v>
      </c>
      <c r="D195" t="s">
        <v>1177</v>
      </c>
      <c r="E195" t="s">
        <v>37</v>
      </c>
      <c r="F195" t="s">
        <v>594</v>
      </c>
      <c r="G195" s="3">
        <v>45858</v>
      </c>
      <c r="H195" s="3">
        <v>46588</v>
      </c>
      <c r="I195" s="5">
        <v>1109.8499999999999</v>
      </c>
      <c r="J195" t="s">
        <v>19</v>
      </c>
      <c r="K195" t="str">
        <f ca="1">IF(TODAY()&gt;H195,"Expired","Active")</f>
        <v>Active</v>
      </c>
    </row>
    <row r="196" spans="1:11" x14ac:dyDescent="0.25">
      <c r="A196" t="s">
        <v>1178</v>
      </c>
      <c r="B196" t="s">
        <v>24</v>
      </c>
      <c r="C196" t="s">
        <v>68</v>
      </c>
      <c r="D196" t="s">
        <v>1179</v>
      </c>
      <c r="E196" t="s">
        <v>32</v>
      </c>
      <c r="F196" t="s">
        <v>1180</v>
      </c>
      <c r="G196" s="3">
        <v>45833</v>
      </c>
      <c r="H196" s="3">
        <v>46198</v>
      </c>
      <c r="I196" s="5">
        <v>1707.54</v>
      </c>
      <c r="J196" t="s">
        <v>23</v>
      </c>
      <c r="K196" t="str">
        <f ca="1">IF(TODAY()&gt;H196,"Expired","Active")</f>
        <v>Active</v>
      </c>
    </row>
    <row r="197" spans="1:11" x14ac:dyDescent="0.25">
      <c r="A197" t="s">
        <v>1181</v>
      </c>
      <c r="B197" t="s">
        <v>24</v>
      </c>
      <c r="C197" t="s">
        <v>49</v>
      </c>
      <c r="D197" t="s">
        <v>1182</v>
      </c>
      <c r="E197" t="s">
        <v>39</v>
      </c>
      <c r="F197" t="s">
        <v>1183</v>
      </c>
      <c r="G197" s="3">
        <v>45097</v>
      </c>
      <c r="H197" s="3">
        <v>45463</v>
      </c>
      <c r="I197" s="5">
        <v>1742.55</v>
      </c>
      <c r="J197" t="s">
        <v>19</v>
      </c>
      <c r="K197" t="str">
        <f ca="1">IF(TODAY()&gt;H197,"Expired","Active")</f>
        <v>Expired</v>
      </c>
    </row>
    <row r="198" spans="1:11" x14ac:dyDescent="0.25">
      <c r="A198" t="s">
        <v>1184</v>
      </c>
      <c r="B198" t="s">
        <v>26</v>
      </c>
      <c r="C198" t="s">
        <v>47</v>
      </c>
      <c r="D198" t="s">
        <v>1185</v>
      </c>
      <c r="E198" t="s">
        <v>32</v>
      </c>
      <c r="F198" t="s">
        <v>1186</v>
      </c>
      <c r="G198" s="3">
        <v>45639</v>
      </c>
      <c r="H198" s="3">
        <v>46734</v>
      </c>
      <c r="I198" s="5">
        <v>826.1</v>
      </c>
      <c r="J198" t="s">
        <v>14</v>
      </c>
      <c r="K198" t="str">
        <f ca="1">IF(TODAY()&gt;H198,"Expired","Active")</f>
        <v>Active</v>
      </c>
    </row>
    <row r="199" spans="1:11" x14ac:dyDescent="0.25">
      <c r="A199" t="s">
        <v>1187</v>
      </c>
      <c r="B199" t="s">
        <v>11</v>
      </c>
      <c r="C199" t="s">
        <v>30</v>
      </c>
      <c r="D199" t="s">
        <v>1188</v>
      </c>
      <c r="E199" t="s">
        <v>39</v>
      </c>
      <c r="F199" t="s">
        <v>1189</v>
      </c>
      <c r="G199" s="3">
        <v>45914</v>
      </c>
      <c r="H199" s="3">
        <v>46644</v>
      </c>
      <c r="I199" s="5">
        <v>4099.8599999999997</v>
      </c>
      <c r="J199" t="s">
        <v>35</v>
      </c>
      <c r="K199" t="str">
        <f ca="1">IF(TODAY()&gt;H199,"Expired","Active")</f>
        <v>Active</v>
      </c>
    </row>
    <row r="200" spans="1:11" x14ac:dyDescent="0.25">
      <c r="A200" t="s">
        <v>1190</v>
      </c>
      <c r="B200" t="s">
        <v>24</v>
      </c>
      <c r="C200" t="s">
        <v>68</v>
      </c>
      <c r="D200" t="s">
        <v>1191</v>
      </c>
      <c r="E200" t="s">
        <v>39</v>
      </c>
      <c r="F200" t="s">
        <v>90</v>
      </c>
      <c r="G200" s="3">
        <v>45971</v>
      </c>
      <c r="H200" s="3">
        <v>47067</v>
      </c>
      <c r="I200" s="5">
        <v>1542.46</v>
      </c>
      <c r="J200" t="s">
        <v>19</v>
      </c>
      <c r="K200" t="str">
        <f ca="1">IF(TODAY()&gt;H200,"Expired","Active")</f>
        <v>Active</v>
      </c>
    </row>
    <row r="201" spans="1:11" x14ac:dyDescent="0.25">
      <c r="A201" t="s">
        <v>1192</v>
      </c>
      <c r="B201" t="s">
        <v>29</v>
      </c>
      <c r="C201" t="s">
        <v>36</v>
      </c>
      <c r="D201" t="s">
        <v>1193</v>
      </c>
      <c r="E201" t="s">
        <v>13</v>
      </c>
      <c r="F201" t="s">
        <v>1194</v>
      </c>
      <c r="G201" s="3">
        <v>45868</v>
      </c>
      <c r="H201" s="3">
        <v>46233</v>
      </c>
      <c r="I201" s="5">
        <v>4381.4399999999996</v>
      </c>
      <c r="J201" t="s">
        <v>14</v>
      </c>
      <c r="K201" t="str">
        <f ca="1">IF(TODAY()&gt;H201,"Expired","Active")</f>
        <v>Active</v>
      </c>
    </row>
    <row r="202" spans="1:11" x14ac:dyDescent="0.25">
      <c r="A202" t="s">
        <v>1195</v>
      </c>
      <c r="B202" t="s">
        <v>24</v>
      </c>
      <c r="C202" t="s">
        <v>40</v>
      </c>
      <c r="D202" t="s">
        <v>1196</v>
      </c>
      <c r="E202" t="s">
        <v>34</v>
      </c>
      <c r="F202" t="s">
        <v>1197</v>
      </c>
      <c r="G202" s="3">
        <v>45804</v>
      </c>
      <c r="H202" s="3">
        <v>46534</v>
      </c>
      <c r="I202" s="5">
        <v>1528.71</v>
      </c>
      <c r="J202" t="s">
        <v>14</v>
      </c>
      <c r="K202" t="str">
        <f ca="1">IF(TODAY()&gt;H202,"Expired","Active")</f>
        <v>Active</v>
      </c>
    </row>
    <row r="203" spans="1:11" x14ac:dyDescent="0.25">
      <c r="A203" t="s">
        <v>1198</v>
      </c>
      <c r="B203" t="s">
        <v>26</v>
      </c>
      <c r="C203" t="s">
        <v>66</v>
      </c>
      <c r="D203" t="s">
        <v>1199</v>
      </c>
      <c r="E203" t="s">
        <v>13</v>
      </c>
      <c r="F203" t="s">
        <v>1200</v>
      </c>
      <c r="G203" s="3">
        <v>45102</v>
      </c>
      <c r="H203" s="3">
        <v>46198</v>
      </c>
      <c r="I203" s="5">
        <v>649.16999999999996</v>
      </c>
      <c r="J203" t="s">
        <v>14</v>
      </c>
      <c r="K203" t="str">
        <f ca="1">IF(TODAY()&gt;H203,"Expired","Active")</f>
        <v>Active</v>
      </c>
    </row>
    <row r="204" spans="1:11" x14ac:dyDescent="0.25">
      <c r="A204" t="s">
        <v>1201</v>
      </c>
      <c r="B204" t="s">
        <v>26</v>
      </c>
      <c r="C204" t="s">
        <v>77</v>
      </c>
      <c r="D204" t="s">
        <v>1202</v>
      </c>
      <c r="E204" t="s">
        <v>37</v>
      </c>
      <c r="F204" t="s">
        <v>1203</v>
      </c>
      <c r="G204" s="3">
        <v>45154</v>
      </c>
      <c r="H204" s="3">
        <v>45520</v>
      </c>
      <c r="I204" s="5">
        <v>932.84</v>
      </c>
      <c r="J204" t="s">
        <v>19</v>
      </c>
      <c r="K204" t="str">
        <f ca="1">IF(TODAY()&gt;H204,"Expired","Active")</f>
        <v>Expired</v>
      </c>
    </row>
    <row r="205" spans="1:11" x14ac:dyDescent="0.25">
      <c r="A205" t="s">
        <v>1204</v>
      </c>
      <c r="B205" t="s">
        <v>20</v>
      </c>
      <c r="C205" t="s">
        <v>12</v>
      </c>
      <c r="D205" t="s">
        <v>1205</v>
      </c>
      <c r="E205" t="s">
        <v>34</v>
      </c>
      <c r="F205" t="s">
        <v>1206</v>
      </c>
      <c r="G205" s="3">
        <v>45156</v>
      </c>
      <c r="H205" s="3">
        <v>45522</v>
      </c>
      <c r="I205" s="5">
        <v>1031.3599999999999</v>
      </c>
      <c r="J205" t="s">
        <v>19</v>
      </c>
      <c r="K205" t="str">
        <f ca="1">IF(TODAY()&gt;H205,"Expired","Active")</f>
        <v>Expired</v>
      </c>
    </row>
    <row r="206" spans="1:11" x14ac:dyDescent="0.25">
      <c r="A206" t="s">
        <v>1207</v>
      </c>
      <c r="B206" t="s">
        <v>20</v>
      </c>
      <c r="C206" t="s">
        <v>58</v>
      </c>
      <c r="D206" t="s">
        <v>1208</v>
      </c>
      <c r="E206" t="s">
        <v>17</v>
      </c>
      <c r="F206" t="s">
        <v>1209</v>
      </c>
      <c r="G206" s="3">
        <v>45387</v>
      </c>
      <c r="H206" s="3">
        <v>45752</v>
      </c>
      <c r="I206" s="5">
        <v>995.89</v>
      </c>
      <c r="J206" t="s">
        <v>23</v>
      </c>
      <c r="K206" t="str">
        <f ca="1">IF(TODAY()&gt;H206,"Expired","Active")</f>
        <v>Expired</v>
      </c>
    </row>
    <row r="207" spans="1:11" x14ac:dyDescent="0.25">
      <c r="A207" t="s">
        <v>1210</v>
      </c>
      <c r="B207" t="s">
        <v>15</v>
      </c>
      <c r="C207" t="s">
        <v>36</v>
      </c>
      <c r="D207" t="s">
        <v>1211</v>
      </c>
      <c r="E207" t="s">
        <v>13</v>
      </c>
      <c r="F207" t="s">
        <v>1212</v>
      </c>
      <c r="G207" s="3">
        <v>45129</v>
      </c>
      <c r="H207" s="3">
        <v>45860</v>
      </c>
      <c r="I207" s="5">
        <v>791.22</v>
      </c>
      <c r="J207" t="s">
        <v>14</v>
      </c>
      <c r="K207" t="str">
        <f ca="1">IF(TODAY()&gt;H207,"Expired","Active")</f>
        <v>Expired</v>
      </c>
    </row>
    <row r="208" spans="1:11" x14ac:dyDescent="0.25">
      <c r="A208" t="s">
        <v>1213</v>
      </c>
      <c r="B208" t="s">
        <v>26</v>
      </c>
      <c r="C208" t="s">
        <v>30</v>
      </c>
      <c r="D208" t="s">
        <v>1214</v>
      </c>
      <c r="E208" t="s">
        <v>34</v>
      </c>
      <c r="F208" t="s">
        <v>1215</v>
      </c>
      <c r="G208" s="3">
        <v>45880</v>
      </c>
      <c r="H208" s="3">
        <v>46610</v>
      </c>
      <c r="I208" s="5">
        <v>693.86</v>
      </c>
      <c r="J208" t="s">
        <v>35</v>
      </c>
      <c r="K208" t="str">
        <f ca="1">IF(TODAY()&gt;H208,"Expired","Active")</f>
        <v>Active</v>
      </c>
    </row>
    <row r="209" spans="1:11" x14ac:dyDescent="0.25">
      <c r="A209" t="s">
        <v>1216</v>
      </c>
      <c r="B209" t="s">
        <v>26</v>
      </c>
      <c r="C209" t="s">
        <v>48</v>
      </c>
      <c r="D209" t="s">
        <v>1217</v>
      </c>
      <c r="E209" t="s">
        <v>13</v>
      </c>
      <c r="F209" t="s">
        <v>1218</v>
      </c>
      <c r="G209" s="3">
        <v>45414</v>
      </c>
      <c r="H209" s="3">
        <v>45779</v>
      </c>
      <c r="I209" s="5">
        <v>900.68</v>
      </c>
      <c r="J209" t="s">
        <v>23</v>
      </c>
      <c r="K209" t="str">
        <f ca="1">IF(TODAY()&gt;H209,"Expired","Active")</f>
        <v>Expired</v>
      </c>
    </row>
    <row r="210" spans="1:11" x14ac:dyDescent="0.25">
      <c r="A210" t="s">
        <v>1219</v>
      </c>
      <c r="B210" t="s">
        <v>29</v>
      </c>
      <c r="C210" t="s">
        <v>46</v>
      </c>
      <c r="D210" t="s">
        <v>1220</v>
      </c>
      <c r="E210" t="s">
        <v>32</v>
      </c>
      <c r="F210" t="s">
        <v>1221</v>
      </c>
      <c r="G210" s="3">
        <v>45720</v>
      </c>
      <c r="H210" s="3">
        <v>46450</v>
      </c>
      <c r="I210" s="5">
        <v>5270.99</v>
      </c>
      <c r="J210" t="s">
        <v>35</v>
      </c>
      <c r="K210" t="str">
        <f ca="1">IF(TODAY()&gt;H210,"Expired","Active")</f>
        <v>Active</v>
      </c>
    </row>
    <row r="211" spans="1:11" x14ac:dyDescent="0.25">
      <c r="A211" t="s">
        <v>1222</v>
      </c>
      <c r="B211" t="s">
        <v>24</v>
      </c>
      <c r="C211" t="s">
        <v>49</v>
      </c>
      <c r="D211" t="s">
        <v>1223</v>
      </c>
      <c r="E211" t="s">
        <v>13</v>
      </c>
      <c r="F211" t="s">
        <v>1224</v>
      </c>
      <c r="G211" s="3">
        <v>45974</v>
      </c>
      <c r="H211" s="3">
        <v>46704</v>
      </c>
      <c r="I211" s="5">
        <v>1320.51</v>
      </c>
      <c r="J211" t="s">
        <v>23</v>
      </c>
      <c r="K211" t="str">
        <f ca="1">IF(TODAY()&gt;H211,"Expired","Active")</f>
        <v>Active</v>
      </c>
    </row>
    <row r="212" spans="1:11" x14ac:dyDescent="0.25">
      <c r="A212" t="s">
        <v>1225</v>
      </c>
      <c r="B212" t="s">
        <v>26</v>
      </c>
      <c r="C212" t="s">
        <v>53</v>
      </c>
      <c r="D212" t="s">
        <v>1226</v>
      </c>
      <c r="E212" t="s">
        <v>13</v>
      </c>
      <c r="F212" t="s">
        <v>1227</v>
      </c>
      <c r="G212" s="3">
        <v>45796</v>
      </c>
      <c r="H212" s="3">
        <v>46526</v>
      </c>
      <c r="I212" s="5">
        <v>1135.1400000000001</v>
      </c>
      <c r="J212" t="s">
        <v>14</v>
      </c>
      <c r="K212" t="str">
        <f ca="1">IF(TODAY()&gt;H212,"Expired","Active")</f>
        <v>Active</v>
      </c>
    </row>
    <row r="213" spans="1:11" x14ac:dyDescent="0.25">
      <c r="A213" t="s">
        <v>1228</v>
      </c>
      <c r="B213" t="s">
        <v>26</v>
      </c>
      <c r="C213" t="s">
        <v>56</v>
      </c>
      <c r="D213" t="s">
        <v>1229</v>
      </c>
      <c r="E213" t="s">
        <v>13</v>
      </c>
      <c r="F213" t="s">
        <v>1230</v>
      </c>
      <c r="G213" s="3">
        <v>45547</v>
      </c>
      <c r="H213" s="3">
        <v>46277</v>
      </c>
      <c r="I213" s="5">
        <v>993.82</v>
      </c>
      <c r="J213" t="s">
        <v>14</v>
      </c>
      <c r="K213" t="str">
        <f ca="1">IF(TODAY()&gt;H213,"Expired","Active")</f>
        <v>Active</v>
      </c>
    </row>
    <row r="214" spans="1:11" x14ac:dyDescent="0.25">
      <c r="A214" t="s">
        <v>1231</v>
      </c>
      <c r="B214" t="s">
        <v>11</v>
      </c>
      <c r="C214" t="s">
        <v>56</v>
      </c>
      <c r="D214" t="s">
        <v>1232</v>
      </c>
      <c r="E214" t="s">
        <v>13</v>
      </c>
      <c r="F214" t="s">
        <v>1233</v>
      </c>
      <c r="G214" s="3">
        <v>45191</v>
      </c>
      <c r="H214" s="3">
        <v>45922</v>
      </c>
      <c r="I214" s="5">
        <v>2772.54</v>
      </c>
      <c r="J214" t="s">
        <v>14</v>
      </c>
      <c r="K214" t="str">
        <f ca="1">IF(TODAY()&gt;H214,"Expired","Active")</f>
        <v>Expired</v>
      </c>
    </row>
    <row r="215" spans="1:11" x14ac:dyDescent="0.25">
      <c r="A215" t="s">
        <v>1234</v>
      </c>
      <c r="B215" t="s">
        <v>20</v>
      </c>
      <c r="C215" t="s">
        <v>33</v>
      </c>
      <c r="D215" t="s">
        <v>1235</v>
      </c>
      <c r="E215" t="s">
        <v>39</v>
      </c>
      <c r="F215" t="s">
        <v>1236</v>
      </c>
      <c r="G215" s="3">
        <v>45737</v>
      </c>
      <c r="H215" s="3">
        <v>46467</v>
      </c>
      <c r="I215" s="5">
        <v>981.27</v>
      </c>
      <c r="J215" t="s">
        <v>19</v>
      </c>
      <c r="K215" t="str">
        <f ca="1">IF(TODAY()&gt;H215,"Expired","Active")</f>
        <v>Active</v>
      </c>
    </row>
    <row r="216" spans="1:11" x14ac:dyDescent="0.25">
      <c r="A216" t="s">
        <v>91</v>
      </c>
      <c r="B216" t="s">
        <v>26</v>
      </c>
      <c r="C216" t="s">
        <v>49</v>
      </c>
      <c r="D216" t="s">
        <v>1237</v>
      </c>
      <c r="E216" t="s">
        <v>37</v>
      </c>
      <c r="F216" t="s">
        <v>92</v>
      </c>
      <c r="G216" s="3">
        <v>45277</v>
      </c>
      <c r="H216" s="3">
        <v>46373</v>
      </c>
      <c r="I216" s="5">
        <v>1084.98</v>
      </c>
      <c r="J216" t="s">
        <v>35</v>
      </c>
      <c r="K216" t="str">
        <f ca="1">IF(TODAY()&gt;H216,"Expired","Active")</f>
        <v>Active</v>
      </c>
    </row>
    <row r="217" spans="1:11" x14ac:dyDescent="0.25">
      <c r="A217" t="s">
        <v>1238</v>
      </c>
      <c r="B217" t="s">
        <v>11</v>
      </c>
      <c r="C217" t="s">
        <v>31</v>
      </c>
      <c r="D217" t="s">
        <v>1239</v>
      </c>
      <c r="E217" t="s">
        <v>39</v>
      </c>
      <c r="F217" t="s">
        <v>595</v>
      </c>
      <c r="G217" s="3">
        <v>45003</v>
      </c>
      <c r="H217" s="3">
        <v>45369</v>
      </c>
      <c r="I217" s="5">
        <v>6117.88</v>
      </c>
      <c r="J217" t="s">
        <v>14</v>
      </c>
      <c r="K217" t="str">
        <f ca="1">IF(TODAY()&gt;H217,"Expired","Active")</f>
        <v>Expired</v>
      </c>
    </row>
    <row r="218" spans="1:11" x14ac:dyDescent="0.25">
      <c r="A218" t="s">
        <v>1240</v>
      </c>
      <c r="B218" t="s">
        <v>15</v>
      </c>
      <c r="C218" t="s">
        <v>53</v>
      </c>
      <c r="D218" t="s">
        <v>1241</v>
      </c>
      <c r="E218" t="s">
        <v>39</v>
      </c>
      <c r="F218" t="s">
        <v>1242</v>
      </c>
      <c r="G218" s="3">
        <v>45044</v>
      </c>
      <c r="H218" s="3">
        <v>46140</v>
      </c>
      <c r="I218" s="5">
        <v>1087.94</v>
      </c>
      <c r="J218" t="s">
        <v>23</v>
      </c>
      <c r="K218" t="str">
        <f ca="1">IF(TODAY()&gt;H218,"Expired","Active")</f>
        <v>Active</v>
      </c>
    </row>
    <row r="219" spans="1:11" x14ac:dyDescent="0.25">
      <c r="A219" t="s">
        <v>1243</v>
      </c>
      <c r="B219" t="s">
        <v>15</v>
      </c>
      <c r="C219" t="s">
        <v>53</v>
      </c>
      <c r="D219" t="s">
        <v>1244</v>
      </c>
      <c r="E219" t="s">
        <v>34</v>
      </c>
      <c r="F219" t="s">
        <v>1245</v>
      </c>
      <c r="G219" s="3">
        <v>45687</v>
      </c>
      <c r="H219" s="3">
        <v>46782</v>
      </c>
      <c r="I219" s="5">
        <v>1067.0899999999999</v>
      </c>
      <c r="J219" t="s">
        <v>19</v>
      </c>
      <c r="K219" t="str">
        <f ca="1">IF(TODAY()&gt;H219,"Expired","Active")</f>
        <v>Active</v>
      </c>
    </row>
    <row r="220" spans="1:11" x14ac:dyDescent="0.25">
      <c r="A220" t="s">
        <v>1246</v>
      </c>
      <c r="B220" t="s">
        <v>29</v>
      </c>
      <c r="C220" t="s">
        <v>50</v>
      </c>
      <c r="D220" t="s">
        <v>1247</v>
      </c>
      <c r="E220" t="s">
        <v>13</v>
      </c>
      <c r="F220" t="s">
        <v>1248</v>
      </c>
      <c r="G220" s="3">
        <v>45970</v>
      </c>
      <c r="H220" s="3">
        <v>47066</v>
      </c>
      <c r="I220" s="5">
        <v>7380.4</v>
      </c>
      <c r="J220" t="s">
        <v>14</v>
      </c>
      <c r="K220" t="str">
        <f ca="1">IF(TODAY()&gt;H220,"Expired","Active")</f>
        <v>Active</v>
      </c>
    </row>
    <row r="221" spans="1:11" x14ac:dyDescent="0.25">
      <c r="A221" t="s">
        <v>1249</v>
      </c>
      <c r="B221" t="s">
        <v>24</v>
      </c>
      <c r="C221" t="s">
        <v>53</v>
      </c>
      <c r="D221" t="s">
        <v>1250</v>
      </c>
      <c r="E221" t="s">
        <v>22</v>
      </c>
      <c r="F221" t="s">
        <v>596</v>
      </c>
      <c r="G221" s="3">
        <v>45397</v>
      </c>
      <c r="H221" s="3">
        <v>46492</v>
      </c>
      <c r="I221" s="5">
        <v>1222.92</v>
      </c>
      <c r="J221" t="s">
        <v>35</v>
      </c>
      <c r="K221" t="str">
        <f ca="1">IF(TODAY()&gt;H221,"Expired","Active")</f>
        <v>Active</v>
      </c>
    </row>
    <row r="222" spans="1:11" x14ac:dyDescent="0.25">
      <c r="A222" t="s">
        <v>1251</v>
      </c>
      <c r="B222" t="s">
        <v>11</v>
      </c>
      <c r="C222" t="s">
        <v>43</v>
      </c>
      <c r="D222" t="s">
        <v>1252</v>
      </c>
      <c r="E222" t="s">
        <v>22</v>
      </c>
      <c r="F222" t="s">
        <v>1253</v>
      </c>
      <c r="G222" s="3">
        <v>45051</v>
      </c>
      <c r="H222" s="3">
        <v>45417</v>
      </c>
      <c r="I222" s="5">
        <v>3687.18</v>
      </c>
      <c r="J222" t="s">
        <v>35</v>
      </c>
      <c r="K222" t="str">
        <f ca="1">IF(TODAY()&gt;H222,"Expired","Active")</f>
        <v>Expired</v>
      </c>
    </row>
    <row r="223" spans="1:11" x14ac:dyDescent="0.25">
      <c r="A223" t="s">
        <v>1254</v>
      </c>
      <c r="B223" t="s">
        <v>20</v>
      </c>
      <c r="C223" t="s">
        <v>49</v>
      </c>
      <c r="D223" t="s">
        <v>1255</v>
      </c>
      <c r="E223" t="s">
        <v>22</v>
      </c>
      <c r="F223" t="s">
        <v>93</v>
      </c>
      <c r="G223" s="3">
        <v>45181</v>
      </c>
      <c r="H223" s="3">
        <v>45547</v>
      </c>
      <c r="I223" s="5">
        <v>1278.48</v>
      </c>
      <c r="J223" t="s">
        <v>19</v>
      </c>
      <c r="K223" t="str">
        <f ca="1">IF(TODAY()&gt;H223,"Expired","Active")</f>
        <v>Expired</v>
      </c>
    </row>
    <row r="224" spans="1:11" x14ac:dyDescent="0.25">
      <c r="A224" t="s">
        <v>94</v>
      </c>
      <c r="B224" t="s">
        <v>11</v>
      </c>
      <c r="C224" t="s">
        <v>25</v>
      </c>
      <c r="D224" t="s">
        <v>1256</v>
      </c>
      <c r="E224" t="s">
        <v>13</v>
      </c>
      <c r="F224" t="s">
        <v>1257</v>
      </c>
      <c r="G224" s="3">
        <v>45785</v>
      </c>
      <c r="H224" s="3">
        <v>46881</v>
      </c>
      <c r="I224" s="5">
        <v>3184.56</v>
      </c>
      <c r="J224" t="s">
        <v>23</v>
      </c>
      <c r="K224" t="str">
        <f ca="1">IF(TODAY()&gt;H224,"Expired","Active")</f>
        <v>Active</v>
      </c>
    </row>
    <row r="225" spans="1:11" x14ac:dyDescent="0.25">
      <c r="A225" t="s">
        <v>1258</v>
      </c>
      <c r="B225" t="s">
        <v>15</v>
      </c>
      <c r="C225" t="s">
        <v>44</v>
      </c>
      <c r="D225" t="s">
        <v>1259</v>
      </c>
      <c r="E225" t="s">
        <v>39</v>
      </c>
      <c r="F225" t="s">
        <v>597</v>
      </c>
      <c r="G225" s="3">
        <v>45293</v>
      </c>
      <c r="H225" s="3">
        <v>46024</v>
      </c>
      <c r="I225" s="5">
        <v>934.25</v>
      </c>
      <c r="J225" t="s">
        <v>19</v>
      </c>
      <c r="K225" t="str">
        <f ca="1">IF(TODAY()&gt;H225,"Expired","Active")</f>
        <v>Expired</v>
      </c>
    </row>
    <row r="226" spans="1:11" x14ac:dyDescent="0.25">
      <c r="A226" t="s">
        <v>1260</v>
      </c>
      <c r="B226" t="s">
        <v>26</v>
      </c>
      <c r="C226" t="s">
        <v>27</v>
      </c>
      <c r="D226" t="s">
        <v>1261</v>
      </c>
      <c r="E226" t="s">
        <v>39</v>
      </c>
      <c r="F226" t="s">
        <v>1262</v>
      </c>
      <c r="G226" s="3">
        <v>45479</v>
      </c>
      <c r="H226" s="3">
        <v>46574</v>
      </c>
      <c r="I226" s="5">
        <v>910.52</v>
      </c>
      <c r="J226" t="s">
        <v>35</v>
      </c>
      <c r="K226" t="str">
        <f ca="1">IF(TODAY()&gt;H226,"Expired","Active")</f>
        <v>Active</v>
      </c>
    </row>
    <row r="227" spans="1:11" x14ac:dyDescent="0.25">
      <c r="A227" t="s">
        <v>1263</v>
      </c>
      <c r="B227" t="s">
        <v>15</v>
      </c>
      <c r="C227" t="s">
        <v>77</v>
      </c>
      <c r="D227" t="s">
        <v>1264</v>
      </c>
      <c r="E227" t="s">
        <v>17</v>
      </c>
      <c r="F227" t="s">
        <v>95</v>
      </c>
      <c r="G227" s="3">
        <v>45067</v>
      </c>
      <c r="H227" s="3">
        <v>46163</v>
      </c>
      <c r="I227" s="5">
        <v>801.2</v>
      </c>
      <c r="J227" t="s">
        <v>19</v>
      </c>
      <c r="K227" t="str">
        <f ca="1">IF(TODAY()&gt;H227,"Expired","Active")</f>
        <v>Active</v>
      </c>
    </row>
    <row r="228" spans="1:11" x14ac:dyDescent="0.25">
      <c r="A228" t="s">
        <v>1265</v>
      </c>
      <c r="B228" t="s">
        <v>29</v>
      </c>
      <c r="C228" t="s">
        <v>48</v>
      </c>
      <c r="D228" t="s">
        <v>1266</v>
      </c>
      <c r="E228" t="s">
        <v>22</v>
      </c>
      <c r="F228" t="s">
        <v>1267</v>
      </c>
      <c r="G228" s="3">
        <v>45648</v>
      </c>
      <c r="H228" s="3">
        <v>46743</v>
      </c>
      <c r="I228" s="5">
        <v>8036.92</v>
      </c>
      <c r="J228" t="s">
        <v>19</v>
      </c>
      <c r="K228" t="str">
        <f ca="1">IF(TODAY()&gt;H228,"Expired","Active")</f>
        <v>Active</v>
      </c>
    </row>
    <row r="229" spans="1:11" x14ac:dyDescent="0.25">
      <c r="A229" t="s">
        <v>1268</v>
      </c>
      <c r="B229" t="s">
        <v>24</v>
      </c>
      <c r="C229" t="s">
        <v>31</v>
      </c>
      <c r="D229" t="s">
        <v>1269</v>
      </c>
      <c r="E229" t="s">
        <v>34</v>
      </c>
      <c r="F229" t="s">
        <v>598</v>
      </c>
      <c r="G229" s="3">
        <v>45662</v>
      </c>
      <c r="H229" s="3">
        <v>46392</v>
      </c>
      <c r="I229" s="5">
        <v>1292.48</v>
      </c>
      <c r="J229" t="s">
        <v>14</v>
      </c>
      <c r="K229" t="str">
        <f ca="1">IF(TODAY()&gt;H229,"Expired","Active")</f>
        <v>Active</v>
      </c>
    </row>
    <row r="230" spans="1:11" x14ac:dyDescent="0.25">
      <c r="A230" t="s">
        <v>1270</v>
      </c>
      <c r="B230" t="s">
        <v>15</v>
      </c>
      <c r="C230" t="s">
        <v>53</v>
      </c>
      <c r="D230" t="s">
        <v>1271</v>
      </c>
      <c r="E230" t="s">
        <v>37</v>
      </c>
      <c r="F230" t="s">
        <v>1272</v>
      </c>
      <c r="G230" s="3">
        <v>45499</v>
      </c>
      <c r="H230" s="3">
        <v>46229</v>
      </c>
      <c r="I230" s="5">
        <v>671.58</v>
      </c>
      <c r="J230" t="s">
        <v>14</v>
      </c>
      <c r="K230" t="str">
        <f ca="1">IF(TODAY()&gt;H230,"Expired","Active")</f>
        <v>Active</v>
      </c>
    </row>
    <row r="231" spans="1:11" x14ac:dyDescent="0.25">
      <c r="A231" t="s">
        <v>1273</v>
      </c>
      <c r="B231" t="s">
        <v>11</v>
      </c>
      <c r="C231" t="s">
        <v>51</v>
      </c>
      <c r="D231" t="s">
        <v>1274</v>
      </c>
      <c r="E231" t="s">
        <v>37</v>
      </c>
      <c r="F231" t="s">
        <v>599</v>
      </c>
      <c r="G231" s="3">
        <v>45341</v>
      </c>
      <c r="H231" s="3">
        <v>45707</v>
      </c>
      <c r="I231" s="5">
        <v>6014.32</v>
      </c>
      <c r="J231" t="s">
        <v>35</v>
      </c>
      <c r="K231" t="str">
        <f ca="1">IF(TODAY()&gt;H231,"Expired","Active")</f>
        <v>Expired</v>
      </c>
    </row>
    <row r="232" spans="1:11" x14ac:dyDescent="0.25">
      <c r="A232" t="s">
        <v>1275</v>
      </c>
      <c r="B232" t="s">
        <v>29</v>
      </c>
      <c r="C232" t="s">
        <v>41</v>
      </c>
      <c r="D232" t="s">
        <v>1276</v>
      </c>
      <c r="E232" t="s">
        <v>37</v>
      </c>
      <c r="F232" t="s">
        <v>600</v>
      </c>
      <c r="G232" s="3">
        <v>45039</v>
      </c>
      <c r="H232" s="3">
        <v>45405</v>
      </c>
      <c r="I232" s="5">
        <v>10463.969999999999</v>
      </c>
      <c r="J232" t="s">
        <v>14</v>
      </c>
      <c r="K232" t="str">
        <f ca="1">IF(TODAY()&gt;H232,"Expired","Active")</f>
        <v>Expired</v>
      </c>
    </row>
    <row r="233" spans="1:11" x14ac:dyDescent="0.25">
      <c r="A233" t="s">
        <v>1277</v>
      </c>
      <c r="B233" t="s">
        <v>29</v>
      </c>
      <c r="C233" t="s">
        <v>40</v>
      </c>
      <c r="D233" t="s">
        <v>1278</v>
      </c>
      <c r="E233" t="s">
        <v>34</v>
      </c>
      <c r="F233" t="s">
        <v>1279</v>
      </c>
      <c r="G233" s="3">
        <v>45213</v>
      </c>
      <c r="H233" s="3">
        <v>45579</v>
      </c>
      <c r="I233" s="5">
        <v>10118.52</v>
      </c>
      <c r="J233" t="s">
        <v>35</v>
      </c>
      <c r="K233" t="str">
        <f ca="1">IF(TODAY()&gt;H233,"Expired","Active")</f>
        <v>Expired</v>
      </c>
    </row>
    <row r="234" spans="1:11" x14ac:dyDescent="0.25">
      <c r="A234" t="s">
        <v>1280</v>
      </c>
      <c r="B234" t="s">
        <v>20</v>
      </c>
      <c r="C234" t="s">
        <v>51</v>
      </c>
      <c r="D234" t="s">
        <v>1281</v>
      </c>
      <c r="E234" t="s">
        <v>39</v>
      </c>
      <c r="F234" t="s">
        <v>1282</v>
      </c>
      <c r="G234" s="3">
        <v>45702</v>
      </c>
      <c r="H234" s="3">
        <v>46432</v>
      </c>
      <c r="I234" s="5">
        <v>895.34</v>
      </c>
      <c r="J234" t="s">
        <v>19</v>
      </c>
      <c r="K234" t="str">
        <f ca="1">IF(TODAY()&gt;H234,"Expired","Active")</f>
        <v>Active</v>
      </c>
    </row>
    <row r="235" spans="1:11" x14ac:dyDescent="0.25">
      <c r="A235" t="s">
        <v>1283</v>
      </c>
      <c r="B235" t="s">
        <v>11</v>
      </c>
      <c r="C235" t="s">
        <v>33</v>
      </c>
      <c r="D235" t="s">
        <v>1284</v>
      </c>
      <c r="E235" t="s">
        <v>39</v>
      </c>
      <c r="F235" t="s">
        <v>1285</v>
      </c>
      <c r="G235" s="3">
        <v>45813</v>
      </c>
      <c r="H235" s="3">
        <v>46909</v>
      </c>
      <c r="I235" s="5">
        <v>4420.17</v>
      </c>
      <c r="J235" t="s">
        <v>23</v>
      </c>
      <c r="K235" t="str">
        <f ca="1">IF(TODAY()&gt;H235,"Expired","Active")</f>
        <v>Active</v>
      </c>
    </row>
    <row r="236" spans="1:11" x14ac:dyDescent="0.25">
      <c r="A236" t="s">
        <v>1286</v>
      </c>
      <c r="B236" t="s">
        <v>26</v>
      </c>
      <c r="C236" t="s">
        <v>43</v>
      </c>
      <c r="D236" t="s">
        <v>1287</v>
      </c>
      <c r="E236" t="s">
        <v>37</v>
      </c>
      <c r="F236" t="s">
        <v>601</v>
      </c>
      <c r="G236" s="3">
        <v>46015</v>
      </c>
      <c r="H236" s="3">
        <v>47111</v>
      </c>
      <c r="I236" s="5">
        <v>831.97</v>
      </c>
      <c r="J236" t="s">
        <v>14</v>
      </c>
      <c r="K236" t="str">
        <f ca="1">IF(TODAY()&gt;H236,"Expired","Active")</f>
        <v>Active</v>
      </c>
    </row>
    <row r="237" spans="1:11" x14ac:dyDescent="0.25">
      <c r="A237" t="s">
        <v>602</v>
      </c>
      <c r="B237" t="s">
        <v>15</v>
      </c>
      <c r="C237" t="s">
        <v>40</v>
      </c>
      <c r="D237" t="s">
        <v>1288</v>
      </c>
      <c r="E237" t="s">
        <v>22</v>
      </c>
      <c r="F237" t="s">
        <v>1289</v>
      </c>
      <c r="G237" s="3">
        <v>45299</v>
      </c>
      <c r="H237" s="3">
        <v>46030</v>
      </c>
      <c r="I237" s="5">
        <v>730.22</v>
      </c>
      <c r="J237" t="s">
        <v>14</v>
      </c>
      <c r="K237" t="str">
        <f ca="1">IF(TODAY()&gt;H237,"Expired","Active")</f>
        <v>Expired</v>
      </c>
    </row>
    <row r="238" spans="1:11" x14ac:dyDescent="0.25">
      <c r="A238" t="s">
        <v>1290</v>
      </c>
      <c r="B238" t="s">
        <v>15</v>
      </c>
      <c r="C238" t="s">
        <v>43</v>
      </c>
      <c r="D238" t="s">
        <v>1291</v>
      </c>
      <c r="E238" t="s">
        <v>34</v>
      </c>
      <c r="F238" t="s">
        <v>603</v>
      </c>
      <c r="G238" s="3">
        <v>45956</v>
      </c>
      <c r="H238" s="3">
        <v>46686</v>
      </c>
      <c r="I238" s="5">
        <v>1142.94</v>
      </c>
      <c r="J238" t="s">
        <v>19</v>
      </c>
      <c r="K238" t="str">
        <f ca="1">IF(TODAY()&gt;H238,"Expired","Active")</f>
        <v>Active</v>
      </c>
    </row>
    <row r="239" spans="1:11" x14ac:dyDescent="0.25">
      <c r="A239" t="s">
        <v>1292</v>
      </c>
      <c r="B239" t="s">
        <v>15</v>
      </c>
      <c r="C239" t="s">
        <v>58</v>
      </c>
      <c r="D239" t="s">
        <v>1293</v>
      </c>
      <c r="E239" t="s">
        <v>37</v>
      </c>
      <c r="F239" t="s">
        <v>604</v>
      </c>
      <c r="G239" s="3">
        <v>45406</v>
      </c>
      <c r="H239" s="3">
        <v>46501</v>
      </c>
      <c r="I239" s="5">
        <v>409.89</v>
      </c>
      <c r="J239" t="s">
        <v>14</v>
      </c>
      <c r="K239" t="str">
        <f ca="1">IF(TODAY()&gt;H239,"Expired","Active")</f>
        <v>Active</v>
      </c>
    </row>
    <row r="240" spans="1:11" x14ac:dyDescent="0.25">
      <c r="A240" t="s">
        <v>1294</v>
      </c>
      <c r="B240" t="s">
        <v>20</v>
      </c>
      <c r="C240" t="s">
        <v>41</v>
      </c>
      <c r="D240" t="s">
        <v>1295</v>
      </c>
      <c r="E240" t="s">
        <v>37</v>
      </c>
      <c r="F240" t="s">
        <v>1296</v>
      </c>
      <c r="G240" s="3">
        <v>45999</v>
      </c>
      <c r="H240" s="3">
        <v>47095</v>
      </c>
      <c r="I240" s="5">
        <v>1283.48</v>
      </c>
      <c r="J240" t="s">
        <v>35</v>
      </c>
      <c r="K240" t="str">
        <f ca="1">IF(TODAY()&gt;H240,"Expired","Active")</f>
        <v>Active</v>
      </c>
    </row>
    <row r="241" spans="1:11" x14ac:dyDescent="0.25">
      <c r="A241" t="s">
        <v>1297</v>
      </c>
      <c r="B241" t="s">
        <v>24</v>
      </c>
      <c r="C241" t="s">
        <v>21</v>
      </c>
      <c r="D241" t="s">
        <v>1298</v>
      </c>
      <c r="E241" t="s">
        <v>32</v>
      </c>
      <c r="F241" t="s">
        <v>605</v>
      </c>
      <c r="G241" s="3">
        <v>45799</v>
      </c>
      <c r="H241" s="3">
        <v>46529</v>
      </c>
      <c r="I241" s="5">
        <v>1758.39</v>
      </c>
      <c r="J241" t="s">
        <v>14</v>
      </c>
      <c r="K241" t="str">
        <f ca="1">IF(TODAY()&gt;H241,"Expired","Active")</f>
        <v>Active</v>
      </c>
    </row>
    <row r="242" spans="1:11" x14ac:dyDescent="0.25">
      <c r="A242" t="s">
        <v>1299</v>
      </c>
      <c r="B242" t="s">
        <v>29</v>
      </c>
      <c r="C242" t="s">
        <v>62</v>
      </c>
      <c r="D242" t="s">
        <v>1300</v>
      </c>
      <c r="E242" t="s">
        <v>32</v>
      </c>
      <c r="F242" t="s">
        <v>606</v>
      </c>
      <c r="G242" s="3">
        <v>45191</v>
      </c>
      <c r="H242" s="3">
        <v>46287</v>
      </c>
      <c r="I242" s="5">
        <v>10072.459999999999</v>
      </c>
      <c r="J242" t="s">
        <v>19</v>
      </c>
      <c r="K242" t="str">
        <f ca="1">IF(TODAY()&gt;H242,"Expired","Active")</f>
        <v>Active</v>
      </c>
    </row>
    <row r="243" spans="1:11" x14ac:dyDescent="0.25">
      <c r="A243" t="s">
        <v>1301</v>
      </c>
      <c r="B243" t="s">
        <v>24</v>
      </c>
      <c r="C243" t="s">
        <v>51</v>
      </c>
      <c r="D243" t="s">
        <v>1302</v>
      </c>
      <c r="E243" t="s">
        <v>22</v>
      </c>
      <c r="F243" t="s">
        <v>1303</v>
      </c>
      <c r="G243" s="3">
        <v>45565</v>
      </c>
      <c r="H243" s="3">
        <v>46660</v>
      </c>
      <c r="I243" s="5">
        <v>988.34</v>
      </c>
      <c r="J243" t="s">
        <v>35</v>
      </c>
      <c r="K243" t="str">
        <f ca="1">IF(TODAY()&gt;H243,"Expired","Active")</f>
        <v>Active</v>
      </c>
    </row>
    <row r="244" spans="1:11" x14ac:dyDescent="0.25">
      <c r="A244" t="s">
        <v>1304</v>
      </c>
      <c r="B244" t="s">
        <v>24</v>
      </c>
      <c r="C244" t="s">
        <v>25</v>
      </c>
      <c r="D244" t="s">
        <v>1305</v>
      </c>
      <c r="E244" t="s">
        <v>32</v>
      </c>
      <c r="F244" t="s">
        <v>1306</v>
      </c>
      <c r="G244" s="3">
        <v>45640</v>
      </c>
      <c r="H244" s="3">
        <v>46370</v>
      </c>
      <c r="I244" s="5">
        <v>1649.27</v>
      </c>
      <c r="J244" t="s">
        <v>23</v>
      </c>
      <c r="K244" t="str">
        <f ca="1">IF(TODAY()&gt;H244,"Expired","Active")</f>
        <v>Active</v>
      </c>
    </row>
    <row r="245" spans="1:11" x14ac:dyDescent="0.25">
      <c r="A245" t="s">
        <v>1307</v>
      </c>
      <c r="B245" t="s">
        <v>24</v>
      </c>
      <c r="C245" t="s">
        <v>68</v>
      </c>
      <c r="D245" t="s">
        <v>1308</v>
      </c>
      <c r="E245" t="s">
        <v>32</v>
      </c>
      <c r="F245" t="s">
        <v>1309</v>
      </c>
      <c r="G245" s="3">
        <v>45095</v>
      </c>
      <c r="H245" s="3">
        <v>46191</v>
      </c>
      <c r="I245" s="5">
        <v>1874.24</v>
      </c>
      <c r="J245" t="s">
        <v>14</v>
      </c>
      <c r="K245" t="str">
        <f ca="1">IF(TODAY()&gt;H245,"Expired","Active")</f>
        <v>Active</v>
      </c>
    </row>
    <row r="246" spans="1:11" x14ac:dyDescent="0.25">
      <c r="A246" t="s">
        <v>1310</v>
      </c>
      <c r="B246" t="s">
        <v>24</v>
      </c>
      <c r="C246" t="s">
        <v>25</v>
      </c>
      <c r="D246" t="s">
        <v>1311</v>
      </c>
      <c r="E246" t="s">
        <v>22</v>
      </c>
      <c r="F246" t="s">
        <v>1312</v>
      </c>
      <c r="G246" s="3">
        <v>45277</v>
      </c>
      <c r="H246" s="3">
        <v>46373</v>
      </c>
      <c r="I246" s="5">
        <v>1416.51</v>
      </c>
      <c r="J246" t="s">
        <v>23</v>
      </c>
      <c r="K246" t="str">
        <f ca="1">IF(TODAY()&gt;H246,"Expired","Active")</f>
        <v>Active</v>
      </c>
    </row>
    <row r="247" spans="1:11" x14ac:dyDescent="0.25">
      <c r="A247" t="s">
        <v>1313</v>
      </c>
      <c r="B247" t="s">
        <v>26</v>
      </c>
      <c r="C247" t="s">
        <v>62</v>
      </c>
      <c r="D247" t="s">
        <v>1314</v>
      </c>
      <c r="E247" t="s">
        <v>37</v>
      </c>
      <c r="F247" t="s">
        <v>1315</v>
      </c>
      <c r="G247" s="3">
        <v>45715</v>
      </c>
      <c r="H247" s="3">
        <v>46080</v>
      </c>
      <c r="I247" s="5">
        <v>752.57</v>
      </c>
      <c r="J247" t="s">
        <v>19</v>
      </c>
      <c r="K247" t="str">
        <f ca="1">IF(TODAY()&gt;H247,"Expired","Active")</f>
        <v>Expired</v>
      </c>
    </row>
    <row r="248" spans="1:11" x14ac:dyDescent="0.25">
      <c r="A248" t="s">
        <v>1316</v>
      </c>
      <c r="B248" t="s">
        <v>29</v>
      </c>
      <c r="C248" t="s">
        <v>52</v>
      </c>
      <c r="D248" t="s">
        <v>1317</v>
      </c>
      <c r="E248" t="s">
        <v>32</v>
      </c>
      <c r="F248" t="s">
        <v>607</v>
      </c>
      <c r="G248" s="3">
        <v>45443</v>
      </c>
      <c r="H248" s="3">
        <v>46173</v>
      </c>
      <c r="I248" s="5">
        <v>5848.78</v>
      </c>
      <c r="J248" t="s">
        <v>23</v>
      </c>
      <c r="K248" t="str">
        <f ca="1">IF(TODAY()&gt;H248,"Expired","Active")</f>
        <v>Active</v>
      </c>
    </row>
    <row r="249" spans="1:11" x14ac:dyDescent="0.25">
      <c r="A249" t="s">
        <v>1318</v>
      </c>
      <c r="B249" t="s">
        <v>26</v>
      </c>
      <c r="C249" t="s">
        <v>56</v>
      </c>
      <c r="D249" t="s">
        <v>1319</v>
      </c>
      <c r="E249" t="s">
        <v>22</v>
      </c>
      <c r="F249" t="s">
        <v>1320</v>
      </c>
      <c r="G249" s="3">
        <v>45262</v>
      </c>
      <c r="H249" s="3">
        <v>45628</v>
      </c>
      <c r="I249" s="5">
        <v>768.93</v>
      </c>
      <c r="J249" t="s">
        <v>14</v>
      </c>
      <c r="K249" t="str">
        <f ca="1">IF(TODAY()&gt;H249,"Expired","Active")</f>
        <v>Expired</v>
      </c>
    </row>
    <row r="250" spans="1:11" x14ac:dyDescent="0.25">
      <c r="A250" t="s">
        <v>1321</v>
      </c>
      <c r="B250" t="s">
        <v>15</v>
      </c>
      <c r="C250" t="s">
        <v>28</v>
      </c>
      <c r="D250" t="s">
        <v>1322</v>
      </c>
      <c r="E250" t="s">
        <v>37</v>
      </c>
      <c r="F250" t="s">
        <v>608</v>
      </c>
      <c r="G250" s="3">
        <v>45875</v>
      </c>
      <c r="H250" s="3">
        <v>46605</v>
      </c>
      <c r="I250" s="5">
        <v>1128.29</v>
      </c>
      <c r="J250" t="s">
        <v>19</v>
      </c>
      <c r="K250" t="str">
        <f ca="1">IF(TODAY()&gt;H250,"Expired","Active")</f>
        <v>Active</v>
      </c>
    </row>
    <row r="251" spans="1:11" x14ac:dyDescent="0.25">
      <c r="A251" t="s">
        <v>1323</v>
      </c>
      <c r="B251" t="s">
        <v>29</v>
      </c>
      <c r="C251" t="s">
        <v>12</v>
      </c>
      <c r="D251" t="s">
        <v>1324</v>
      </c>
      <c r="E251" t="s">
        <v>34</v>
      </c>
      <c r="F251" t="s">
        <v>1325</v>
      </c>
      <c r="G251" s="3">
        <v>45030</v>
      </c>
      <c r="H251" s="3">
        <v>46126</v>
      </c>
      <c r="I251" s="5">
        <v>9290.93</v>
      </c>
      <c r="J251" t="s">
        <v>35</v>
      </c>
      <c r="K251" t="str">
        <f ca="1">IF(TODAY()&gt;H251,"Expired","Active")</f>
        <v>Expired</v>
      </c>
    </row>
    <row r="252" spans="1:11" x14ac:dyDescent="0.25">
      <c r="A252" t="s">
        <v>1326</v>
      </c>
      <c r="B252" t="s">
        <v>24</v>
      </c>
      <c r="C252" t="s">
        <v>48</v>
      </c>
      <c r="D252" t="s">
        <v>1327</v>
      </c>
      <c r="E252" t="s">
        <v>17</v>
      </c>
      <c r="F252" t="s">
        <v>96</v>
      </c>
      <c r="G252" s="3">
        <v>45403</v>
      </c>
      <c r="H252" s="3">
        <v>46498</v>
      </c>
      <c r="I252" s="5">
        <v>1172.27</v>
      </c>
      <c r="J252" t="s">
        <v>35</v>
      </c>
      <c r="K252" t="str">
        <f ca="1">IF(TODAY()&gt;H252,"Expired","Active")</f>
        <v>Active</v>
      </c>
    </row>
    <row r="253" spans="1:11" x14ac:dyDescent="0.25">
      <c r="A253" t="s">
        <v>1328</v>
      </c>
      <c r="B253" t="s">
        <v>20</v>
      </c>
      <c r="C253" t="s">
        <v>58</v>
      </c>
      <c r="D253" t="s">
        <v>1329</v>
      </c>
      <c r="E253" t="s">
        <v>39</v>
      </c>
      <c r="F253" t="s">
        <v>1330</v>
      </c>
      <c r="G253" s="3">
        <v>46023</v>
      </c>
      <c r="H253" s="3">
        <v>47119</v>
      </c>
      <c r="I253" s="5">
        <v>1815.75</v>
      </c>
      <c r="J253" t="s">
        <v>19</v>
      </c>
      <c r="K253" t="str">
        <f ca="1">IF(TODAY()&gt;H253,"Expired","Active")</f>
        <v>Active</v>
      </c>
    </row>
    <row r="254" spans="1:11" x14ac:dyDescent="0.25">
      <c r="A254" t="s">
        <v>1331</v>
      </c>
      <c r="B254" t="s">
        <v>11</v>
      </c>
      <c r="C254" t="s">
        <v>42</v>
      </c>
      <c r="D254" t="s">
        <v>1332</v>
      </c>
      <c r="E254" t="s">
        <v>22</v>
      </c>
      <c r="F254" t="s">
        <v>1333</v>
      </c>
      <c r="G254" s="3">
        <v>45584</v>
      </c>
      <c r="H254" s="3">
        <v>46314</v>
      </c>
      <c r="I254" s="5">
        <v>5220.05</v>
      </c>
      <c r="J254" t="s">
        <v>23</v>
      </c>
      <c r="K254" t="str">
        <f ca="1">IF(TODAY()&gt;H254,"Expired","Active")</f>
        <v>Active</v>
      </c>
    </row>
    <row r="255" spans="1:11" x14ac:dyDescent="0.25">
      <c r="A255" t="s">
        <v>609</v>
      </c>
      <c r="B255" t="s">
        <v>15</v>
      </c>
      <c r="C255" t="s">
        <v>40</v>
      </c>
      <c r="D255" t="s">
        <v>1334</v>
      </c>
      <c r="E255" t="s">
        <v>22</v>
      </c>
      <c r="F255" t="s">
        <v>1335</v>
      </c>
      <c r="G255" s="3">
        <v>45013</v>
      </c>
      <c r="H255" s="3">
        <v>46109</v>
      </c>
      <c r="I255" s="5">
        <v>1067.05</v>
      </c>
      <c r="J255" t="s">
        <v>19</v>
      </c>
      <c r="K255" t="str">
        <f ca="1">IF(TODAY()&gt;H255,"Expired","Active")</f>
        <v>Expired</v>
      </c>
    </row>
    <row r="256" spans="1:11" x14ac:dyDescent="0.25">
      <c r="A256" t="s">
        <v>1336</v>
      </c>
      <c r="B256" t="s">
        <v>20</v>
      </c>
      <c r="C256" t="s">
        <v>53</v>
      </c>
      <c r="D256" t="s">
        <v>1337</v>
      </c>
      <c r="E256" t="s">
        <v>17</v>
      </c>
      <c r="F256" t="s">
        <v>97</v>
      </c>
      <c r="G256" s="3">
        <v>45473</v>
      </c>
      <c r="H256" s="3">
        <v>46568</v>
      </c>
      <c r="I256" s="5">
        <v>1121.22</v>
      </c>
      <c r="J256" t="s">
        <v>19</v>
      </c>
      <c r="K256" t="str">
        <f ca="1">IF(TODAY()&gt;H256,"Expired","Active")</f>
        <v>Active</v>
      </c>
    </row>
    <row r="257" spans="1:11" x14ac:dyDescent="0.25">
      <c r="A257" t="s">
        <v>1338</v>
      </c>
      <c r="B257" t="s">
        <v>29</v>
      </c>
      <c r="C257" t="s">
        <v>44</v>
      </c>
      <c r="D257" t="s">
        <v>1339</v>
      </c>
      <c r="E257" t="s">
        <v>22</v>
      </c>
      <c r="F257" t="s">
        <v>1340</v>
      </c>
      <c r="G257" s="3">
        <v>45012</v>
      </c>
      <c r="H257" s="3">
        <v>46108</v>
      </c>
      <c r="I257" s="5">
        <v>8930.66</v>
      </c>
      <c r="J257" t="s">
        <v>23</v>
      </c>
      <c r="K257" t="str">
        <f ca="1">IF(TODAY()&gt;H257,"Expired","Active")</f>
        <v>Expired</v>
      </c>
    </row>
    <row r="258" spans="1:11" x14ac:dyDescent="0.25">
      <c r="A258" t="s">
        <v>1341</v>
      </c>
      <c r="B258" t="s">
        <v>20</v>
      </c>
      <c r="C258" t="s">
        <v>53</v>
      </c>
      <c r="D258" t="s">
        <v>1342</v>
      </c>
      <c r="E258" t="s">
        <v>13</v>
      </c>
      <c r="F258" t="s">
        <v>610</v>
      </c>
      <c r="G258" s="3">
        <v>45007</v>
      </c>
      <c r="H258" s="3">
        <v>45738</v>
      </c>
      <c r="I258" s="5">
        <v>1883.59</v>
      </c>
      <c r="J258" t="s">
        <v>23</v>
      </c>
      <c r="K258" t="str">
        <f ca="1">IF(TODAY()&gt;H258,"Expired","Active")</f>
        <v>Expired</v>
      </c>
    </row>
    <row r="259" spans="1:11" x14ac:dyDescent="0.25">
      <c r="A259" t="s">
        <v>611</v>
      </c>
      <c r="B259" t="s">
        <v>24</v>
      </c>
      <c r="C259" t="s">
        <v>36</v>
      </c>
      <c r="D259" t="s">
        <v>1343</v>
      </c>
      <c r="E259" t="s">
        <v>34</v>
      </c>
      <c r="F259" t="s">
        <v>98</v>
      </c>
      <c r="G259" s="3">
        <v>45238</v>
      </c>
      <c r="H259" s="3">
        <v>45969</v>
      </c>
      <c r="I259" s="5">
        <v>1659.82</v>
      </c>
      <c r="J259" t="s">
        <v>19</v>
      </c>
      <c r="K259" t="str">
        <f ca="1">IF(TODAY()&gt;H259,"Expired","Active")</f>
        <v>Expired</v>
      </c>
    </row>
    <row r="260" spans="1:11" x14ac:dyDescent="0.25">
      <c r="A260" t="s">
        <v>1344</v>
      </c>
      <c r="B260" t="s">
        <v>20</v>
      </c>
      <c r="C260" t="s">
        <v>43</v>
      </c>
      <c r="D260" t="s">
        <v>1345</v>
      </c>
      <c r="E260" t="s">
        <v>34</v>
      </c>
      <c r="F260" t="s">
        <v>612</v>
      </c>
      <c r="G260" s="3">
        <v>45753</v>
      </c>
      <c r="H260" s="3">
        <v>46483</v>
      </c>
      <c r="I260" s="5">
        <v>1387.42</v>
      </c>
      <c r="J260" t="s">
        <v>23</v>
      </c>
      <c r="K260" t="str">
        <f ca="1">IF(TODAY()&gt;H260,"Expired","Active")</f>
        <v>Active</v>
      </c>
    </row>
    <row r="261" spans="1:11" x14ac:dyDescent="0.25">
      <c r="A261" t="s">
        <v>1346</v>
      </c>
      <c r="B261" t="s">
        <v>15</v>
      </c>
      <c r="C261" t="s">
        <v>66</v>
      </c>
      <c r="D261" t="s">
        <v>1347</v>
      </c>
      <c r="E261" t="s">
        <v>32</v>
      </c>
      <c r="F261" t="s">
        <v>1348</v>
      </c>
      <c r="G261" s="3">
        <v>45415</v>
      </c>
      <c r="H261" s="3">
        <v>45780</v>
      </c>
      <c r="I261" s="5">
        <v>566.75</v>
      </c>
      <c r="J261" t="s">
        <v>35</v>
      </c>
      <c r="K261" t="str">
        <f ca="1">IF(TODAY()&gt;H261,"Expired","Active")</f>
        <v>Expired</v>
      </c>
    </row>
    <row r="262" spans="1:11" x14ac:dyDescent="0.25">
      <c r="A262" t="s">
        <v>1349</v>
      </c>
      <c r="B262" t="s">
        <v>20</v>
      </c>
      <c r="C262" t="s">
        <v>66</v>
      </c>
      <c r="D262" t="s">
        <v>1350</v>
      </c>
      <c r="E262" t="s">
        <v>17</v>
      </c>
      <c r="F262" t="s">
        <v>1351</v>
      </c>
      <c r="G262" s="3">
        <v>45152</v>
      </c>
      <c r="H262" s="3">
        <v>45518</v>
      </c>
      <c r="I262" s="5">
        <v>1411.27</v>
      </c>
      <c r="J262" t="s">
        <v>19</v>
      </c>
      <c r="K262" t="str">
        <f ca="1">IF(TODAY()&gt;H262,"Expired","Active")</f>
        <v>Expired</v>
      </c>
    </row>
    <row r="263" spans="1:11" x14ac:dyDescent="0.25">
      <c r="A263" t="s">
        <v>1352</v>
      </c>
      <c r="B263" t="s">
        <v>11</v>
      </c>
      <c r="C263" t="s">
        <v>51</v>
      </c>
      <c r="D263" t="s">
        <v>1353</v>
      </c>
      <c r="E263" t="s">
        <v>17</v>
      </c>
      <c r="F263" t="s">
        <v>99</v>
      </c>
      <c r="G263" s="3">
        <v>45383</v>
      </c>
      <c r="H263" s="3">
        <v>46113</v>
      </c>
      <c r="I263" s="5">
        <v>5171.2</v>
      </c>
      <c r="J263" t="s">
        <v>14</v>
      </c>
      <c r="K263" t="str">
        <f ca="1">IF(TODAY()&gt;H263,"Expired","Active")</f>
        <v>Expired</v>
      </c>
    </row>
    <row r="264" spans="1:11" x14ac:dyDescent="0.25">
      <c r="A264" t="s">
        <v>1354</v>
      </c>
      <c r="B264" t="s">
        <v>20</v>
      </c>
      <c r="C264" t="s">
        <v>30</v>
      </c>
      <c r="D264" t="s">
        <v>1355</v>
      </c>
      <c r="E264" t="s">
        <v>34</v>
      </c>
      <c r="F264" t="s">
        <v>1356</v>
      </c>
      <c r="G264" s="3">
        <v>45301</v>
      </c>
      <c r="H264" s="3">
        <v>45667</v>
      </c>
      <c r="I264" s="5">
        <v>1779.06</v>
      </c>
      <c r="J264" t="s">
        <v>14</v>
      </c>
      <c r="K264" t="str">
        <f ca="1">IF(TODAY()&gt;H264,"Expired","Active")</f>
        <v>Expired</v>
      </c>
    </row>
    <row r="265" spans="1:11" x14ac:dyDescent="0.25">
      <c r="A265" t="s">
        <v>613</v>
      </c>
      <c r="B265" t="s">
        <v>29</v>
      </c>
      <c r="C265" t="s">
        <v>72</v>
      </c>
      <c r="D265" t="s">
        <v>1357</v>
      </c>
      <c r="E265" t="s">
        <v>32</v>
      </c>
      <c r="F265" t="s">
        <v>1358</v>
      </c>
      <c r="G265" s="3">
        <v>45829</v>
      </c>
      <c r="H265" s="3">
        <v>46925</v>
      </c>
      <c r="I265" s="5">
        <v>8271.61</v>
      </c>
      <c r="J265" t="s">
        <v>14</v>
      </c>
      <c r="K265" t="str">
        <f ca="1">IF(TODAY()&gt;H265,"Expired","Active")</f>
        <v>Active</v>
      </c>
    </row>
    <row r="266" spans="1:11" x14ac:dyDescent="0.25">
      <c r="A266" t="s">
        <v>100</v>
      </c>
      <c r="B266" t="s">
        <v>26</v>
      </c>
      <c r="C266" t="s">
        <v>62</v>
      </c>
      <c r="D266" t="s">
        <v>1359</v>
      </c>
      <c r="E266" t="s">
        <v>17</v>
      </c>
      <c r="F266" t="s">
        <v>1360</v>
      </c>
      <c r="G266" s="3">
        <v>45575</v>
      </c>
      <c r="H266" s="3">
        <v>46305</v>
      </c>
      <c r="I266" s="5">
        <v>748.32</v>
      </c>
      <c r="J266" t="s">
        <v>23</v>
      </c>
      <c r="K266" t="str">
        <f ca="1">IF(TODAY()&gt;H266,"Expired","Active")</f>
        <v>Active</v>
      </c>
    </row>
    <row r="267" spans="1:11" x14ac:dyDescent="0.25">
      <c r="A267" t="s">
        <v>101</v>
      </c>
      <c r="B267" t="s">
        <v>29</v>
      </c>
      <c r="C267" t="s">
        <v>58</v>
      </c>
      <c r="D267" t="s">
        <v>1361</v>
      </c>
      <c r="E267" t="s">
        <v>22</v>
      </c>
      <c r="F267" t="s">
        <v>1362</v>
      </c>
      <c r="G267" s="3">
        <v>45901</v>
      </c>
      <c r="H267" s="3">
        <v>46631</v>
      </c>
      <c r="I267" s="5">
        <v>7458.11</v>
      </c>
      <c r="J267" t="s">
        <v>35</v>
      </c>
      <c r="K267" t="str">
        <f ca="1">IF(TODAY()&gt;H267,"Expired","Active")</f>
        <v>Active</v>
      </c>
    </row>
    <row r="268" spans="1:11" x14ac:dyDescent="0.25">
      <c r="A268" t="s">
        <v>1363</v>
      </c>
      <c r="B268" t="s">
        <v>24</v>
      </c>
      <c r="C268" t="s">
        <v>53</v>
      </c>
      <c r="D268" t="s">
        <v>1364</v>
      </c>
      <c r="E268" t="s">
        <v>32</v>
      </c>
      <c r="F268" t="s">
        <v>1365</v>
      </c>
      <c r="G268" s="3">
        <v>45071</v>
      </c>
      <c r="H268" s="3">
        <v>45802</v>
      </c>
      <c r="I268" s="5">
        <v>1467.97</v>
      </c>
      <c r="J268" t="s">
        <v>23</v>
      </c>
      <c r="K268" t="str">
        <f ca="1">IF(TODAY()&gt;H268,"Expired","Active")</f>
        <v>Expired</v>
      </c>
    </row>
    <row r="269" spans="1:11" x14ac:dyDescent="0.25">
      <c r="A269" t="s">
        <v>1366</v>
      </c>
      <c r="B269" t="s">
        <v>24</v>
      </c>
      <c r="C269" t="s">
        <v>12</v>
      </c>
      <c r="D269" t="s">
        <v>1367</v>
      </c>
      <c r="E269" t="s">
        <v>39</v>
      </c>
      <c r="F269" t="s">
        <v>1368</v>
      </c>
      <c r="G269" s="3">
        <v>45169</v>
      </c>
      <c r="H269" s="3">
        <v>45535</v>
      </c>
      <c r="I269" s="5">
        <v>1251.3800000000001</v>
      </c>
      <c r="J269" t="s">
        <v>19</v>
      </c>
      <c r="K269" t="str">
        <f ca="1">IF(TODAY()&gt;H269,"Expired","Active")</f>
        <v>Expired</v>
      </c>
    </row>
    <row r="270" spans="1:11" x14ac:dyDescent="0.25">
      <c r="A270" t="s">
        <v>1369</v>
      </c>
      <c r="B270" t="s">
        <v>24</v>
      </c>
      <c r="C270" t="s">
        <v>77</v>
      </c>
      <c r="D270" t="s">
        <v>1370</v>
      </c>
      <c r="E270" t="s">
        <v>37</v>
      </c>
      <c r="F270" t="s">
        <v>614</v>
      </c>
      <c r="G270" s="3">
        <v>45522</v>
      </c>
      <c r="H270" s="3">
        <v>45887</v>
      </c>
      <c r="I270" s="5">
        <v>1328.55</v>
      </c>
      <c r="J270" t="s">
        <v>14</v>
      </c>
      <c r="K270" t="str">
        <f ca="1">IF(TODAY()&gt;H270,"Expired","Active")</f>
        <v>Expired</v>
      </c>
    </row>
    <row r="271" spans="1:11" x14ac:dyDescent="0.25">
      <c r="A271" t="s">
        <v>1371</v>
      </c>
      <c r="B271" t="s">
        <v>29</v>
      </c>
      <c r="C271" t="s">
        <v>68</v>
      </c>
      <c r="D271" t="s">
        <v>1372</v>
      </c>
      <c r="E271" t="s">
        <v>17</v>
      </c>
      <c r="F271" t="s">
        <v>1373</v>
      </c>
      <c r="G271" s="3">
        <v>45126</v>
      </c>
      <c r="H271" s="3">
        <v>46222</v>
      </c>
      <c r="I271" s="5">
        <v>8435.9500000000007</v>
      </c>
      <c r="J271" t="s">
        <v>14</v>
      </c>
      <c r="K271" t="str">
        <f ca="1">IF(TODAY()&gt;H271,"Expired","Active")</f>
        <v>Active</v>
      </c>
    </row>
    <row r="272" spans="1:11" x14ac:dyDescent="0.25">
      <c r="A272" t="s">
        <v>102</v>
      </c>
      <c r="B272" t="s">
        <v>20</v>
      </c>
      <c r="C272" t="s">
        <v>16</v>
      </c>
      <c r="D272" t="s">
        <v>1374</v>
      </c>
      <c r="E272" t="s">
        <v>39</v>
      </c>
      <c r="F272" t="s">
        <v>1375</v>
      </c>
      <c r="G272" s="3">
        <v>45078</v>
      </c>
      <c r="H272" s="3">
        <v>45809</v>
      </c>
      <c r="I272" s="5">
        <v>1633.44</v>
      </c>
      <c r="J272" t="s">
        <v>23</v>
      </c>
      <c r="K272" t="str">
        <f ca="1">IF(TODAY()&gt;H272,"Expired","Active")</f>
        <v>Expired</v>
      </c>
    </row>
    <row r="273" spans="1:11" x14ac:dyDescent="0.25">
      <c r="A273" t="s">
        <v>1376</v>
      </c>
      <c r="B273" t="s">
        <v>15</v>
      </c>
      <c r="C273" t="s">
        <v>33</v>
      </c>
      <c r="D273" t="s">
        <v>1377</v>
      </c>
      <c r="E273" t="s">
        <v>32</v>
      </c>
      <c r="F273" t="s">
        <v>1378</v>
      </c>
      <c r="G273" s="3">
        <v>45119</v>
      </c>
      <c r="H273" s="3">
        <v>45485</v>
      </c>
      <c r="I273" s="5">
        <v>674.79</v>
      </c>
      <c r="J273" t="s">
        <v>19</v>
      </c>
      <c r="K273" t="str">
        <f ca="1">IF(TODAY()&gt;H273,"Expired","Active")</f>
        <v>Expired</v>
      </c>
    </row>
    <row r="274" spans="1:11" x14ac:dyDescent="0.25">
      <c r="A274" t="s">
        <v>1379</v>
      </c>
      <c r="B274" t="s">
        <v>29</v>
      </c>
      <c r="C274" t="s">
        <v>33</v>
      </c>
      <c r="D274" t="s">
        <v>1380</v>
      </c>
      <c r="E274" t="s">
        <v>34</v>
      </c>
      <c r="F274" t="s">
        <v>615</v>
      </c>
      <c r="G274" s="3">
        <v>45896</v>
      </c>
      <c r="H274" s="3">
        <v>46992</v>
      </c>
      <c r="I274" s="5">
        <v>9750.8799999999992</v>
      </c>
      <c r="J274" t="s">
        <v>23</v>
      </c>
      <c r="K274" t="str">
        <f ca="1">IF(TODAY()&gt;H274,"Expired","Active")</f>
        <v>Active</v>
      </c>
    </row>
    <row r="275" spans="1:11" x14ac:dyDescent="0.25">
      <c r="A275" t="s">
        <v>1381</v>
      </c>
      <c r="B275" t="s">
        <v>20</v>
      </c>
      <c r="C275" t="s">
        <v>46</v>
      </c>
      <c r="D275" t="s">
        <v>1382</v>
      </c>
      <c r="E275" t="s">
        <v>32</v>
      </c>
      <c r="F275" t="s">
        <v>1383</v>
      </c>
      <c r="G275" s="3">
        <v>45963</v>
      </c>
      <c r="H275" s="3">
        <v>46693</v>
      </c>
      <c r="I275" s="5">
        <v>1695.92</v>
      </c>
      <c r="J275" t="s">
        <v>23</v>
      </c>
      <c r="K275" t="str">
        <f ca="1">IF(TODAY()&gt;H275,"Expired","Active")</f>
        <v>Active</v>
      </c>
    </row>
    <row r="276" spans="1:11" x14ac:dyDescent="0.25">
      <c r="A276" t="s">
        <v>1384</v>
      </c>
      <c r="B276" t="s">
        <v>11</v>
      </c>
      <c r="C276" t="s">
        <v>56</v>
      </c>
      <c r="D276" t="s">
        <v>1385</v>
      </c>
      <c r="E276" t="s">
        <v>34</v>
      </c>
      <c r="F276" t="s">
        <v>1386</v>
      </c>
      <c r="G276" s="3">
        <v>45689</v>
      </c>
      <c r="H276" s="3">
        <v>46784</v>
      </c>
      <c r="I276" s="5">
        <v>3691.31</v>
      </c>
      <c r="J276" t="s">
        <v>14</v>
      </c>
      <c r="K276" t="str">
        <f ca="1">IF(TODAY()&gt;H276,"Expired","Active")</f>
        <v>Active</v>
      </c>
    </row>
    <row r="277" spans="1:11" x14ac:dyDescent="0.25">
      <c r="A277" t="s">
        <v>1387</v>
      </c>
      <c r="B277" t="s">
        <v>24</v>
      </c>
      <c r="C277" t="s">
        <v>12</v>
      </c>
      <c r="D277" t="s">
        <v>1388</v>
      </c>
      <c r="E277" t="s">
        <v>34</v>
      </c>
      <c r="F277" t="s">
        <v>103</v>
      </c>
      <c r="G277" s="3">
        <v>45730</v>
      </c>
      <c r="H277" s="3">
        <v>46095</v>
      </c>
      <c r="I277" s="5">
        <v>1637.3</v>
      </c>
      <c r="J277" t="s">
        <v>14</v>
      </c>
      <c r="K277" t="str">
        <f ca="1">IF(TODAY()&gt;H277,"Expired","Active")</f>
        <v>Expired</v>
      </c>
    </row>
    <row r="278" spans="1:11" x14ac:dyDescent="0.25">
      <c r="A278" t="s">
        <v>1389</v>
      </c>
      <c r="B278" t="s">
        <v>24</v>
      </c>
      <c r="C278" t="s">
        <v>48</v>
      </c>
      <c r="D278" t="s">
        <v>1390</v>
      </c>
      <c r="E278" t="s">
        <v>37</v>
      </c>
      <c r="F278" t="s">
        <v>1391</v>
      </c>
      <c r="G278" s="3">
        <v>45480</v>
      </c>
      <c r="H278" s="3">
        <v>45845</v>
      </c>
      <c r="I278" s="5">
        <v>1290.08</v>
      </c>
      <c r="J278" t="s">
        <v>19</v>
      </c>
      <c r="K278" t="str">
        <f ca="1">IF(TODAY()&gt;H278,"Expired","Active")</f>
        <v>Expired</v>
      </c>
    </row>
    <row r="279" spans="1:11" x14ac:dyDescent="0.25">
      <c r="A279" t="s">
        <v>1392</v>
      </c>
      <c r="B279" t="s">
        <v>26</v>
      </c>
      <c r="C279" t="s">
        <v>43</v>
      </c>
      <c r="D279" t="s">
        <v>1393</v>
      </c>
      <c r="E279" t="s">
        <v>13</v>
      </c>
      <c r="F279" t="s">
        <v>1394</v>
      </c>
      <c r="G279" s="3">
        <v>45880</v>
      </c>
      <c r="H279" s="3">
        <v>46976</v>
      </c>
      <c r="I279" s="5">
        <v>792.98</v>
      </c>
      <c r="J279" t="s">
        <v>19</v>
      </c>
      <c r="K279" t="str">
        <f ca="1">IF(TODAY()&gt;H279,"Expired","Active")</f>
        <v>Active</v>
      </c>
    </row>
    <row r="280" spans="1:11" x14ac:dyDescent="0.25">
      <c r="A280" t="s">
        <v>1395</v>
      </c>
      <c r="B280" t="s">
        <v>15</v>
      </c>
      <c r="C280" t="s">
        <v>36</v>
      </c>
      <c r="D280" t="s">
        <v>1396</v>
      </c>
      <c r="E280" t="s">
        <v>37</v>
      </c>
      <c r="F280" t="s">
        <v>1397</v>
      </c>
      <c r="G280" s="3">
        <v>45347</v>
      </c>
      <c r="H280" s="3">
        <v>46078</v>
      </c>
      <c r="I280" s="5">
        <v>740.5</v>
      </c>
      <c r="J280" t="s">
        <v>14</v>
      </c>
      <c r="K280" t="str">
        <f ca="1">IF(TODAY()&gt;H280,"Expired","Active")</f>
        <v>Expired</v>
      </c>
    </row>
    <row r="281" spans="1:11" x14ac:dyDescent="0.25">
      <c r="A281" t="s">
        <v>1398</v>
      </c>
      <c r="B281" t="s">
        <v>24</v>
      </c>
      <c r="C281" t="s">
        <v>42</v>
      </c>
      <c r="D281" t="s">
        <v>1399</v>
      </c>
      <c r="E281" t="s">
        <v>37</v>
      </c>
      <c r="F281" t="s">
        <v>1400</v>
      </c>
      <c r="G281" s="3">
        <v>45132</v>
      </c>
      <c r="H281" s="3">
        <v>45863</v>
      </c>
      <c r="I281" s="5">
        <v>1318.59</v>
      </c>
      <c r="J281" t="s">
        <v>19</v>
      </c>
      <c r="K281" t="str">
        <f ca="1">IF(TODAY()&gt;H281,"Expired","Active")</f>
        <v>Expired</v>
      </c>
    </row>
    <row r="282" spans="1:11" x14ac:dyDescent="0.25">
      <c r="A282" t="s">
        <v>1401</v>
      </c>
      <c r="B282" t="s">
        <v>24</v>
      </c>
      <c r="C282" t="s">
        <v>58</v>
      </c>
      <c r="D282" t="s">
        <v>1402</v>
      </c>
      <c r="E282" t="s">
        <v>22</v>
      </c>
      <c r="F282" t="s">
        <v>1403</v>
      </c>
      <c r="G282" s="3">
        <v>45638</v>
      </c>
      <c r="H282" s="3">
        <v>46003</v>
      </c>
      <c r="I282" s="5">
        <v>1081.3800000000001</v>
      </c>
      <c r="J282" t="s">
        <v>19</v>
      </c>
      <c r="K282" t="str">
        <f ca="1">IF(TODAY()&gt;H282,"Expired","Active")</f>
        <v>Expired</v>
      </c>
    </row>
    <row r="283" spans="1:11" x14ac:dyDescent="0.25">
      <c r="A283" t="s">
        <v>1404</v>
      </c>
      <c r="B283" t="s">
        <v>29</v>
      </c>
      <c r="C283" t="s">
        <v>60</v>
      </c>
      <c r="D283" t="s">
        <v>1405</v>
      </c>
      <c r="E283" t="s">
        <v>39</v>
      </c>
      <c r="F283" t="s">
        <v>1406</v>
      </c>
      <c r="G283" s="3">
        <v>45240</v>
      </c>
      <c r="H283" s="3">
        <v>45971</v>
      </c>
      <c r="I283" s="5">
        <v>11405.08</v>
      </c>
      <c r="J283" t="s">
        <v>23</v>
      </c>
      <c r="K283" t="str">
        <f ca="1">IF(TODAY()&gt;H283,"Expired","Active")</f>
        <v>Expired</v>
      </c>
    </row>
    <row r="284" spans="1:11" x14ac:dyDescent="0.25">
      <c r="A284" t="s">
        <v>1407</v>
      </c>
      <c r="B284" t="s">
        <v>29</v>
      </c>
      <c r="C284" t="s">
        <v>41</v>
      </c>
      <c r="D284" t="s">
        <v>1408</v>
      </c>
      <c r="E284" t="s">
        <v>34</v>
      </c>
      <c r="F284" t="s">
        <v>1409</v>
      </c>
      <c r="G284" s="3">
        <v>45682</v>
      </c>
      <c r="H284" s="3">
        <v>46047</v>
      </c>
      <c r="I284" s="5">
        <v>8913.27</v>
      </c>
      <c r="J284" t="s">
        <v>23</v>
      </c>
      <c r="K284" t="str">
        <f ca="1">IF(TODAY()&gt;H284,"Expired","Active")</f>
        <v>Expired</v>
      </c>
    </row>
    <row r="285" spans="1:11" x14ac:dyDescent="0.25">
      <c r="A285" t="s">
        <v>1410</v>
      </c>
      <c r="B285" t="s">
        <v>11</v>
      </c>
      <c r="C285" t="s">
        <v>31</v>
      </c>
      <c r="D285" t="s">
        <v>1411</v>
      </c>
      <c r="E285" t="s">
        <v>39</v>
      </c>
      <c r="F285" t="s">
        <v>1412</v>
      </c>
      <c r="G285" s="3">
        <v>45539</v>
      </c>
      <c r="H285" s="3">
        <v>45904</v>
      </c>
      <c r="I285" s="5">
        <v>6872.55</v>
      </c>
      <c r="J285" t="s">
        <v>35</v>
      </c>
      <c r="K285" t="str">
        <f ca="1">IF(TODAY()&gt;H285,"Expired","Active")</f>
        <v>Expired</v>
      </c>
    </row>
    <row r="286" spans="1:11" x14ac:dyDescent="0.25">
      <c r="A286" t="s">
        <v>1413</v>
      </c>
      <c r="B286" t="s">
        <v>20</v>
      </c>
      <c r="C286" t="s">
        <v>47</v>
      </c>
      <c r="D286" t="s">
        <v>1414</v>
      </c>
      <c r="E286" t="s">
        <v>32</v>
      </c>
      <c r="F286" t="s">
        <v>104</v>
      </c>
      <c r="G286" s="3">
        <v>45987</v>
      </c>
      <c r="H286" s="3">
        <v>47083</v>
      </c>
      <c r="I286" s="5">
        <v>1430.06</v>
      </c>
      <c r="J286" t="s">
        <v>14</v>
      </c>
      <c r="K286" t="str">
        <f ca="1">IF(TODAY()&gt;H286,"Expired","Active")</f>
        <v>Active</v>
      </c>
    </row>
    <row r="287" spans="1:11" x14ac:dyDescent="0.25">
      <c r="A287" t="s">
        <v>616</v>
      </c>
      <c r="B287" t="s">
        <v>15</v>
      </c>
      <c r="C287" t="s">
        <v>47</v>
      </c>
      <c r="D287" t="s">
        <v>1415</v>
      </c>
      <c r="E287" t="s">
        <v>13</v>
      </c>
      <c r="F287" t="s">
        <v>1416</v>
      </c>
      <c r="G287" s="3">
        <v>45502</v>
      </c>
      <c r="H287" s="3">
        <v>46597</v>
      </c>
      <c r="I287" s="5">
        <v>692.65</v>
      </c>
      <c r="J287" t="s">
        <v>14</v>
      </c>
      <c r="K287" t="str">
        <f ca="1">IF(TODAY()&gt;H287,"Expired","Active")</f>
        <v>Active</v>
      </c>
    </row>
    <row r="288" spans="1:11" x14ac:dyDescent="0.25">
      <c r="A288" t="s">
        <v>1417</v>
      </c>
      <c r="B288" t="s">
        <v>24</v>
      </c>
      <c r="C288" t="s">
        <v>66</v>
      </c>
      <c r="D288" t="s">
        <v>1418</v>
      </c>
      <c r="E288" t="s">
        <v>34</v>
      </c>
      <c r="F288" t="s">
        <v>1419</v>
      </c>
      <c r="G288" s="3">
        <v>45406</v>
      </c>
      <c r="H288" s="3">
        <v>45771</v>
      </c>
      <c r="I288" s="5">
        <v>1756.09</v>
      </c>
      <c r="J288" t="s">
        <v>14</v>
      </c>
      <c r="K288" t="str">
        <f ca="1">IF(TODAY()&gt;H288,"Expired","Active")</f>
        <v>Expired</v>
      </c>
    </row>
    <row r="289" spans="1:11" x14ac:dyDescent="0.25">
      <c r="A289" t="s">
        <v>1420</v>
      </c>
      <c r="B289" t="s">
        <v>20</v>
      </c>
      <c r="C289" t="s">
        <v>69</v>
      </c>
      <c r="D289" t="s">
        <v>1421</v>
      </c>
      <c r="E289" t="s">
        <v>32</v>
      </c>
      <c r="F289" t="s">
        <v>105</v>
      </c>
      <c r="G289" s="3">
        <v>45841</v>
      </c>
      <c r="H289" s="3">
        <v>46571</v>
      </c>
      <c r="I289" s="5">
        <v>893.35</v>
      </c>
      <c r="J289" t="s">
        <v>19</v>
      </c>
      <c r="K289" t="str">
        <f ca="1">IF(TODAY()&gt;H289,"Expired","Active")</f>
        <v>Active</v>
      </c>
    </row>
    <row r="290" spans="1:11" x14ac:dyDescent="0.25">
      <c r="A290" t="s">
        <v>617</v>
      </c>
      <c r="B290" t="s">
        <v>24</v>
      </c>
      <c r="C290" t="s">
        <v>58</v>
      </c>
      <c r="D290" t="s">
        <v>1422</v>
      </c>
      <c r="E290" t="s">
        <v>37</v>
      </c>
      <c r="F290" t="s">
        <v>1423</v>
      </c>
      <c r="G290" s="3">
        <v>45272</v>
      </c>
      <c r="H290" s="3">
        <v>45638</v>
      </c>
      <c r="I290" s="5">
        <v>1671.44</v>
      </c>
      <c r="J290" t="s">
        <v>19</v>
      </c>
      <c r="K290" t="str">
        <f ca="1">IF(TODAY()&gt;H290,"Expired","Active")</f>
        <v>Expired</v>
      </c>
    </row>
    <row r="291" spans="1:11" x14ac:dyDescent="0.25">
      <c r="A291" t="s">
        <v>1424</v>
      </c>
      <c r="B291" t="s">
        <v>20</v>
      </c>
      <c r="C291" t="s">
        <v>27</v>
      </c>
      <c r="D291" t="s">
        <v>1425</v>
      </c>
      <c r="E291" t="s">
        <v>34</v>
      </c>
      <c r="F291" t="s">
        <v>618</v>
      </c>
      <c r="G291" s="3">
        <v>46061</v>
      </c>
      <c r="H291" s="3">
        <v>46426</v>
      </c>
      <c r="I291" s="5">
        <v>876.33</v>
      </c>
      <c r="J291" t="s">
        <v>23</v>
      </c>
      <c r="K291" t="str">
        <f ca="1">IF(TODAY()&gt;H291,"Expired","Active")</f>
        <v>Active</v>
      </c>
    </row>
    <row r="292" spans="1:11" x14ac:dyDescent="0.25">
      <c r="A292" t="s">
        <v>1426</v>
      </c>
      <c r="B292" t="s">
        <v>20</v>
      </c>
      <c r="C292" t="s">
        <v>30</v>
      </c>
      <c r="D292" t="s">
        <v>1427</v>
      </c>
      <c r="E292" t="s">
        <v>17</v>
      </c>
      <c r="F292" t="s">
        <v>1428</v>
      </c>
      <c r="G292" s="3">
        <v>45977</v>
      </c>
      <c r="H292" s="3">
        <v>46707</v>
      </c>
      <c r="I292" s="5">
        <v>1915.69</v>
      </c>
      <c r="J292" t="s">
        <v>23</v>
      </c>
      <c r="K292" t="str">
        <f ca="1">IF(TODAY()&gt;H292,"Expired","Active")</f>
        <v>Active</v>
      </c>
    </row>
    <row r="293" spans="1:11" x14ac:dyDescent="0.25">
      <c r="A293" t="s">
        <v>1429</v>
      </c>
      <c r="B293" t="s">
        <v>29</v>
      </c>
      <c r="C293" t="s">
        <v>60</v>
      </c>
      <c r="D293" t="s">
        <v>1430</v>
      </c>
      <c r="E293" t="s">
        <v>17</v>
      </c>
      <c r="F293" t="s">
        <v>1431</v>
      </c>
      <c r="G293" s="3">
        <v>45965</v>
      </c>
      <c r="H293" s="3">
        <v>46330</v>
      </c>
      <c r="I293" s="5">
        <v>11186.53</v>
      </c>
      <c r="J293" t="s">
        <v>14</v>
      </c>
      <c r="K293" t="str">
        <f ca="1">IF(TODAY()&gt;H293,"Expired","Active")</f>
        <v>Active</v>
      </c>
    </row>
    <row r="294" spans="1:11" x14ac:dyDescent="0.25">
      <c r="A294" t="s">
        <v>1432</v>
      </c>
      <c r="B294" t="s">
        <v>11</v>
      </c>
      <c r="C294" t="s">
        <v>30</v>
      </c>
      <c r="D294" t="s">
        <v>1433</v>
      </c>
      <c r="E294" t="s">
        <v>32</v>
      </c>
      <c r="F294" t="s">
        <v>1434</v>
      </c>
      <c r="G294" s="3">
        <v>45247</v>
      </c>
      <c r="H294" s="3">
        <v>45613</v>
      </c>
      <c r="I294" s="5">
        <v>4714.1499999999996</v>
      </c>
      <c r="J294" t="s">
        <v>35</v>
      </c>
      <c r="K294" t="str">
        <f ca="1">IF(TODAY()&gt;H294,"Expired","Active")</f>
        <v>Expired</v>
      </c>
    </row>
    <row r="295" spans="1:11" x14ac:dyDescent="0.25">
      <c r="A295" t="s">
        <v>1435</v>
      </c>
      <c r="B295" t="s">
        <v>24</v>
      </c>
      <c r="C295" t="s">
        <v>41</v>
      </c>
      <c r="D295" t="s">
        <v>1436</v>
      </c>
      <c r="E295" t="s">
        <v>34</v>
      </c>
      <c r="F295" t="s">
        <v>1437</v>
      </c>
      <c r="G295" s="3">
        <v>45184</v>
      </c>
      <c r="H295" s="3">
        <v>46280</v>
      </c>
      <c r="I295" s="5">
        <v>1934.42</v>
      </c>
      <c r="J295" t="s">
        <v>35</v>
      </c>
      <c r="K295" t="str">
        <f ca="1">IF(TODAY()&gt;H295,"Expired","Active")</f>
        <v>Active</v>
      </c>
    </row>
    <row r="296" spans="1:11" x14ac:dyDescent="0.25">
      <c r="A296" t="s">
        <v>1438</v>
      </c>
      <c r="B296" t="s">
        <v>24</v>
      </c>
      <c r="C296" t="s">
        <v>48</v>
      </c>
      <c r="D296" t="s">
        <v>1439</v>
      </c>
      <c r="E296" t="s">
        <v>32</v>
      </c>
      <c r="F296" t="s">
        <v>619</v>
      </c>
      <c r="G296" s="3">
        <v>46038</v>
      </c>
      <c r="H296" s="3">
        <v>46768</v>
      </c>
      <c r="I296" s="5">
        <v>1233.3399999999999</v>
      </c>
      <c r="J296" t="s">
        <v>23</v>
      </c>
      <c r="K296" t="str">
        <f ca="1">IF(TODAY()&gt;H296,"Expired","Active")</f>
        <v>Active</v>
      </c>
    </row>
    <row r="297" spans="1:11" x14ac:dyDescent="0.25">
      <c r="A297" t="s">
        <v>1440</v>
      </c>
      <c r="B297" t="s">
        <v>24</v>
      </c>
      <c r="C297" t="s">
        <v>21</v>
      </c>
      <c r="D297" t="s">
        <v>1441</v>
      </c>
      <c r="E297" t="s">
        <v>32</v>
      </c>
      <c r="F297" t="s">
        <v>1442</v>
      </c>
      <c r="G297" s="3">
        <v>45492</v>
      </c>
      <c r="H297" s="3">
        <v>46587</v>
      </c>
      <c r="I297" s="5">
        <v>1638.61</v>
      </c>
      <c r="J297" t="s">
        <v>19</v>
      </c>
      <c r="K297" t="str">
        <f ca="1">IF(TODAY()&gt;H297,"Expired","Active")</f>
        <v>Active</v>
      </c>
    </row>
    <row r="298" spans="1:11" x14ac:dyDescent="0.25">
      <c r="A298" t="s">
        <v>1443</v>
      </c>
      <c r="B298" t="s">
        <v>24</v>
      </c>
      <c r="C298" t="s">
        <v>25</v>
      </c>
      <c r="D298" t="s">
        <v>1444</v>
      </c>
      <c r="E298" t="s">
        <v>32</v>
      </c>
      <c r="F298" t="s">
        <v>620</v>
      </c>
      <c r="G298" s="3">
        <v>45528</v>
      </c>
      <c r="H298" s="3">
        <v>45893</v>
      </c>
      <c r="I298" s="5">
        <v>1120.0999999999999</v>
      </c>
      <c r="J298" t="s">
        <v>23</v>
      </c>
      <c r="K298" t="str">
        <f ca="1">IF(TODAY()&gt;H298,"Expired","Active")</f>
        <v>Expired</v>
      </c>
    </row>
    <row r="299" spans="1:11" x14ac:dyDescent="0.25">
      <c r="A299" t="s">
        <v>1445</v>
      </c>
      <c r="B299" t="s">
        <v>15</v>
      </c>
      <c r="C299" t="s">
        <v>28</v>
      </c>
      <c r="D299" t="s">
        <v>1446</v>
      </c>
      <c r="E299" t="s">
        <v>13</v>
      </c>
      <c r="F299" t="s">
        <v>621</v>
      </c>
      <c r="G299" s="3">
        <v>45060</v>
      </c>
      <c r="H299" s="3">
        <v>46156</v>
      </c>
      <c r="I299" s="5">
        <v>916.31</v>
      </c>
      <c r="J299" t="s">
        <v>19</v>
      </c>
      <c r="K299" t="str">
        <f ca="1">IF(TODAY()&gt;H299,"Expired","Active")</f>
        <v>Active</v>
      </c>
    </row>
    <row r="300" spans="1:11" x14ac:dyDescent="0.25">
      <c r="A300" t="s">
        <v>1447</v>
      </c>
      <c r="B300" t="s">
        <v>29</v>
      </c>
      <c r="C300" t="s">
        <v>21</v>
      </c>
      <c r="D300" t="s">
        <v>1448</v>
      </c>
      <c r="E300" t="s">
        <v>13</v>
      </c>
      <c r="F300" t="s">
        <v>106</v>
      </c>
      <c r="G300" s="3">
        <v>45435</v>
      </c>
      <c r="H300" s="3">
        <v>45800</v>
      </c>
      <c r="I300" s="5">
        <v>7268.41</v>
      </c>
      <c r="J300" t="s">
        <v>19</v>
      </c>
      <c r="K300" t="str">
        <f ca="1">IF(TODAY()&gt;H300,"Expired","Active")</f>
        <v>Expired</v>
      </c>
    </row>
    <row r="301" spans="1:11" x14ac:dyDescent="0.25">
      <c r="A301" t="s">
        <v>1449</v>
      </c>
      <c r="B301" t="s">
        <v>24</v>
      </c>
      <c r="C301" t="s">
        <v>41</v>
      </c>
      <c r="D301" t="s">
        <v>1450</v>
      </c>
      <c r="E301" t="s">
        <v>17</v>
      </c>
      <c r="F301" t="s">
        <v>1451</v>
      </c>
      <c r="G301" s="3">
        <v>45280</v>
      </c>
      <c r="H301" s="3">
        <v>46011</v>
      </c>
      <c r="I301" s="5">
        <v>1837.03</v>
      </c>
      <c r="J301" t="s">
        <v>35</v>
      </c>
      <c r="K301" t="str">
        <f ca="1">IF(TODAY()&gt;H301,"Expired","Active")</f>
        <v>Expired</v>
      </c>
    </row>
    <row r="302" spans="1:11" x14ac:dyDescent="0.25">
      <c r="A302" t="s">
        <v>1452</v>
      </c>
      <c r="B302" t="s">
        <v>15</v>
      </c>
      <c r="C302" t="s">
        <v>30</v>
      </c>
      <c r="D302" t="s">
        <v>1453</v>
      </c>
      <c r="E302" t="s">
        <v>37</v>
      </c>
      <c r="F302" t="s">
        <v>1454</v>
      </c>
      <c r="G302" s="3">
        <v>45829</v>
      </c>
      <c r="H302" s="3">
        <v>46194</v>
      </c>
      <c r="I302" s="5">
        <v>683.85</v>
      </c>
      <c r="J302" t="s">
        <v>14</v>
      </c>
      <c r="K302" t="str">
        <f ca="1">IF(TODAY()&gt;H302,"Expired","Active")</f>
        <v>Active</v>
      </c>
    </row>
    <row r="303" spans="1:11" x14ac:dyDescent="0.25">
      <c r="A303" t="s">
        <v>1455</v>
      </c>
      <c r="B303" t="s">
        <v>15</v>
      </c>
      <c r="C303" t="s">
        <v>28</v>
      </c>
      <c r="D303" t="s">
        <v>1456</v>
      </c>
      <c r="E303" t="s">
        <v>39</v>
      </c>
      <c r="F303" t="s">
        <v>622</v>
      </c>
      <c r="G303" s="3">
        <v>45623</v>
      </c>
      <c r="H303" s="3">
        <v>45988</v>
      </c>
      <c r="I303" s="5">
        <v>667.34</v>
      </c>
      <c r="J303" t="s">
        <v>19</v>
      </c>
      <c r="K303" t="str">
        <f ca="1">IF(TODAY()&gt;H303,"Expired","Active")</f>
        <v>Expired</v>
      </c>
    </row>
    <row r="304" spans="1:11" x14ac:dyDescent="0.25">
      <c r="A304" t="s">
        <v>1457</v>
      </c>
      <c r="B304" t="s">
        <v>15</v>
      </c>
      <c r="C304" t="s">
        <v>68</v>
      </c>
      <c r="D304" t="s">
        <v>1458</v>
      </c>
      <c r="E304" t="s">
        <v>32</v>
      </c>
      <c r="F304" t="s">
        <v>1459</v>
      </c>
      <c r="G304" s="3">
        <v>45683</v>
      </c>
      <c r="H304" s="3">
        <v>46778</v>
      </c>
      <c r="I304" s="5">
        <v>1150.07</v>
      </c>
      <c r="J304" t="s">
        <v>19</v>
      </c>
      <c r="K304" t="str">
        <f ca="1">IF(TODAY()&gt;H304,"Expired","Active")</f>
        <v>Active</v>
      </c>
    </row>
    <row r="305" spans="1:11" x14ac:dyDescent="0.25">
      <c r="A305" t="s">
        <v>1460</v>
      </c>
      <c r="B305" t="s">
        <v>26</v>
      </c>
      <c r="C305" t="s">
        <v>28</v>
      </c>
      <c r="D305" t="s">
        <v>1461</v>
      </c>
      <c r="E305" t="s">
        <v>34</v>
      </c>
      <c r="F305" t="s">
        <v>1462</v>
      </c>
      <c r="G305" s="3">
        <v>45531</v>
      </c>
      <c r="H305" s="3">
        <v>46261</v>
      </c>
      <c r="I305" s="5">
        <v>850.13</v>
      </c>
      <c r="J305" t="s">
        <v>35</v>
      </c>
      <c r="K305" t="str">
        <f ca="1">IF(TODAY()&gt;H305,"Expired","Active")</f>
        <v>Active</v>
      </c>
    </row>
    <row r="306" spans="1:11" x14ac:dyDescent="0.25">
      <c r="A306" t="s">
        <v>1463</v>
      </c>
      <c r="B306" t="s">
        <v>15</v>
      </c>
      <c r="C306" t="s">
        <v>40</v>
      </c>
      <c r="D306" t="s">
        <v>1464</v>
      </c>
      <c r="E306" t="s">
        <v>34</v>
      </c>
      <c r="F306" t="s">
        <v>1465</v>
      </c>
      <c r="G306" s="3">
        <v>45748</v>
      </c>
      <c r="H306" s="3">
        <v>46478</v>
      </c>
      <c r="I306" s="5">
        <v>605.63</v>
      </c>
      <c r="J306" t="s">
        <v>35</v>
      </c>
      <c r="K306" t="str">
        <f ca="1">IF(TODAY()&gt;H306,"Expired","Active")</f>
        <v>Active</v>
      </c>
    </row>
    <row r="307" spans="1:11" x14ac:dyDescent="0.25">
      <c r="A307" t="s">
        <v>1466</v>
      </c>
      <c r="B307" t="s">
        <v>24</v>
      </c>
      <c r="C307" t="s">
        <v>21</v>
      </c>
      <c r="D307" t="s">
        <v>1467</v>
      </c>
      <c r="E307" t="s">
        <v>13</v>
      </c>
      <c r="F307" t="s">
        <v>1468</v>
      </c>
      <c r="G307" s="3">
        <v>45766</v>
      </c>
      <c r="H307" s="3">
        <v>46862</v>
      </c>
      <c r="I307" s="5">
        <v>1680.74</v>
      </c>
      <c r="J307" t="s">
        <v>35</v>
      </c>
      <c r="K307" t="str">
        <f ca="1">IF(TODAY()&gt;H307,"Expired","Active")</f>
        <v>Active</v>
      </c>
    </row>
    <row r="308" spans="1:11" x14ac:dyDescent="0.25">
      <c r="A308" t="s">
        <v>1469</v>
      </c>
      <c r="B308" t="s">
        <v>20</v>
      </c>
      <c r="C308" t="s">
        <v>58</v>
      </c>
      <c r="D308" t="s">
        <v>1470</v>
      </c>
      <c r="E308" t="s">
        <v>39</v>
      </c>
      <c r="F308" t="s">
        <v>107</v>
      </c>
      <c r="G308" s="3">
        <v>45773</v>
      </c>
      <c r="H308" s="3">
        <v>46869</v>
      </c>
      <c r="I308" s="5">
        <v>1027.69</v>
      </c>
      <c r="J308" t="s">
        <v>14</v>
      </c>
      <c r="K308" t="str">
        <f ca="1">IF(TODAY()&gt;H308,"Expired","Active")</f>
        <v>Active</v>
      </c>
    </row>
    <row r="309" spans="1:11" x14ac:dyDescent="0.25">
      <c r="A309" t="s">
        <v>1471</v>
      </c>
      <c r="B309" t="s">
        <v>15</v>
      </c>
      <c r="C309" t="s">
        <v>41</v>
      </c>
      <c r="D309" t="s">
        <v>1472</v>
      </c>
      <c r="E309" t="s">
        <v>22</v>
      </c>
      <c r="F309" t="s">
        <v>623</v>
      </c>
      <c r="G309" s="3">
        <v>45775</v>
      </c>
      <c r="H309" s="3">
        <v>46505</v>
      </c>
      <c r="I309" s="5">
        <v>1076.22</v>
      </c>
      <c r="J309" t="s">
        <v>35</v>
      </c>
      <c r="K309" t="str">
        <f ca="1">IF(TODAY()&gt;H309,"Expired","Active")</f>
        <v>Active</v>
      </c>
    </row>
    <row r="310" spans="1:11" x14ac:dyDescent="0.25">
      <c r="A310" t="s">
        <v>1473</v>
      </c>
      <c r="B310" t="s">
        <v>11</v>
      </c>
      <c r="C310" t="s">
        <v>48</v>
      </c>
      <c r="D310" t="s">
        <v>1474</v>
      </c>
      <c r="E310" t="s">
        <v>32</v>
      </c>
      <c r="F310" t="s">
        <v>1475</v>
      </c>
      <c r="G310" s="3">
        <v>45356</v>
      </c>
      <c r="H310" s="3">
        <v>46086</v>
      </c>
      <c r="I310" s="5">
        <v>4473.5</v>
      </c>
      <c r="J310" t="s">
        <v>19</v>
      </c>
      <c r="K310" t="str">
        <f ca="1">IF(TODAY()&gt;H310,"Expired","Active")</f>
        <v>Expired</v>
      </c>
    </row>
    <row r="311" spans="1:11" x14ac:dyDescent="0.25">
      <c r="A311" t="s">
        <v>1476</v>
      </c>
      <c r="B311" t="s">
        <v>20</v>
      </c>
      <c r="C311" t="s">
        <v>36</v>
      </c>
      <c r="D311" t="s">
        <v>1477</v>
      </c>
      <c r="E311" t="s">
        <v>17</v>
      </c>
      <c r="F311" t="s">
        <v>1478</v>
      </c>
      <c r="G311" s="3">
        <v>45377</v>
      </c>
      <c r="H311" s="3">
        <v>46107</v>
      </c>
      <c r="I311" s="5">
        <v>1261.19</v>
      </c>
      <c r="J311" t="s">
        <v>23</v>
      </c>
      <c r="K311" t="str">
        <f ca="1">IF(TODAY()&gt;H311,"Expired","Active")</f>
        <v>Expired</v>
      </c>
    </row>
    <row r="312" spans="1:11" x14ac:dyDescent="0.25">
      <c r="A312" t="s">
        <v>624</v>
      </c>
      <c r="B312" t="s">
        <v>24</v>
      </c>
      <c r="C312" t="s">
        <v>36</v>
      </c>
      <c r="D312" t="s">
        <v>1479</v>
      </c>
      <c r="E312" t="s">
        <v>22</v>
      </c>
      <c r="F312" t="s">
        <v>1480</v>
      </c>
      <c r="G312" s="3">
        <v>45367</v>
      </c>
      <c r="H312" s="3">
        <v>46462</v>
      </c>
      <c r="I312" s="5">
        <v>932.76</v>
      </c>
      <c r="J312" t="s">
        <v>14</v>
      </c>
      <c r="K312" t="str">
        <f ca="1">IF(TODAY()&gt;H312,"Expired","Active")</f>
        <v>Active</v>
      </c>
    </row>
    <row r="313" spans="1:11" x14ac:dyDescent="0.25">
      <c r="A313" t="s">
        <v>1481</v>
      </c>
      <c r="B313" t="s">
        <v>20</v>
      </c>
      <c r="C313" t="s">
        <v>58</v>
      </c>
      <c r="D313" t="s">
        <v>1482</v>
      </c>
      <c r="E313" t="s">
        <v>34</v>
      </c>
      <c r="F313" t="s">
        <v>1483</v>
      </c>
      <c r="G313" s="3">
        <v>45674</v>
      </c>
      <c r="H313" s="3">
        <v>46404</v>
      </c>
      <c r="I313" s="5">
        <v>1467.97</v>
      </c>
      <c r="J313" t="s">
        <v>14</v>
      </c>
      <c r="K313" t="str">
        <f ca="1">IF(TODAY()&gt;H313,"Expired","Active")</f>
        <v>Active</v>
      </c>
    </row>
    <row r="314" spans="1:11" x14ac:dyDescent="0.25">
      <c r="A314" t="s">
        <v>1484</v>
      </c>
      <c r="B314" t="s">
        <v>11</v>
      </c>
      <c r="C314" t="s">
        <v>41</v>
      </c>
      <c r="D314" t="s">
        <v>1485</v>
      </c>
      <c r="E314" t="s">
        <v>39</v>
      </c>
      <c r="F314" t="s">
        <v>1486</v>
      </c>
      <c r="G314" s="3">
        <v>45531</v>
      </c>
      <c r="H314" s="3">
        <v>46626</v>
      </c>
      <c r="I314" s="5">
        <v>6942.69</v>
      </c>
      <c r="J314" t="s">
        <v>35</v>
      </c>
      <c r="K314" t="str">
        <f ca="1">IF(TODAY()&gt;H314,"Expired","Active")</f>
        <v>Active</v>
      </c>
    </row>
    <row r="315" spans="1:11" x14ac:dyDescent="0.25">
      <c r="A315" t="s">
        <v>1487</v>
      </c>
      <c r="B315" t="s">
        <v>29</v>
      </c>
      <c r="C315" t="s">
        <v>50</v>
      </c>
      <c r="D315" t="s">
        <v>1488</v>
      </c>
      <c r="E315" t="s">
        <v>17</v>
      </c>
      <c r="F315" t="s">
        <v>1489</v>
      </c>
      <c r="G315" s="3">
        <v>46008</v>
      </c>
      <c r="H315" s="3">
        <v>47104</v>
      </c>
      <c r="I315" s="5">
        <v>4763.37</v>
      </c>
      <c r="J315" t="s">
        <v>35</v>
      </c>
      <c r="K315" t="str">
        <f ca="1">IF(TODAY()&gt;H315,"Expired","Active")</f>
        <v>Active</v>
      </c>
    </row>
    <row r="316" spans="1:11" x14ac:dyDescent="0.25">
      <c r="A316" t="s">
        <v>1490</v>
      </c>
      <c r="B316" t="s">
        <v>24</v>
      </c>
      <c r="C316" t="s">
        <v>56</v>
      </c>
      <c r="D316" t="s">
        <v>1491</v>
      </c>
      <c r="E316" t="s">
        <v>13</v>
      </c>
      <c r="F316" t="s">
        <v>1492</v>
      </c>
      <c r="G316" s="3">
        <v>45541</v>
      </c>
      <c r="H316" s="3">
        <v>46271</v>
      </c>
      <c r="I316" s="5">
        <v>1988.72</v>
      </c>
      <c r="J316" t="s">
        <v>23</v>
      </c>
      <c r="K316" t="str">
        <f ca="1">IF(TODAY()&gt;H316,"Expired","Active")</f>
        <v>Active</v>
      </c>
    </row>
    <row r="317" spans="1:11" x14ac:dyDescent="0.25">
      <c r="A317" t="s">
        <v>1493</v>
      </c>
      <c r="B317" t="s">
        <v>20</v>
      </c>
      <c r="C317" t="s">
        <v>72</v>
      </c>
      <c r="D317" t="s">
        <v>1494</v>
      </c>
      <c r="E317" t="s">
        <v>13</v>
      </c>
      <c r="F317" t="s">
        <v>1495</v>
      </c>
      <c r="G317" s="3">
        <v>45551</v>
      </c>
      <c r="H317" s="3">
        <v>45916</v>
      </c>
      <c r="I317" s="5">
        <v>1421.42</v>
      </c>
      <c r="J317" t="s">
        <v>23</v>
      </c>
      <c r="K317" t="str">
        <f ca="1">IF(TODAY()&gt;H317,"Expired","Active")</f>
        <v>Expired</v>
      </c>
    </row>
    <row r="318" spans="1:11" x14ac:dyDescent="0.25">
      <c r="A318" t="s">
        <v>1496</v>
      </c>
      <c r="B318" t="s">
        <v>29</v>
      </c>
      <c r="C318" t="s">
        <v>65</v>
      </c>
      <c r="D318" t="s">
        <v>1497</v>
      </c>
      <c r="E318" t="s">
        <v>34</v>
      </c>
      <c r="F318" t="s">
        <v>1498</v>
      </c>
      <c r="G318" s="3">
        <v>45814</v>
      </c>
      <c r="H318" s="3">
        <v>46910</v>
      </c>
      <c r="I318" s="5">
        <v>8594.3700000000008</v>
      </c>
      <c r="J318" t="s">
        <v>23</v>
      </c>
      <c r="K318" t="str">
        <f ca="1">IF(TODAY()&gt;H318,"Expired","Active")</f>
        <v>Active</v>
      </c>
    </row>
    <row r="319" spans="1:11" x14ac:dyDescent="0.25">
      <c r="A319" t="s">
        <v>1499</v>
      </c>
      <c r="B319" t="s">
        <v>29</v>
      </c>
      <c r="C319" t="s">
        <v>21</v>
      </c>
      <c r="D319" t="s">
        <v>1500</v>
      </c>
      <c r="E319" t="s">
        <v>17</v>
      </c>
      <c r="F319" t="s">
        <v>1501</v>
      </c>
      <c r="G319" s="3">
        <v>45793</v>
      </c>
      <c r="H319" s="3">
        <v>46158</v>
      </c>
      <c r="I319" s="5">
        <v>3707.89</v>
      </c>
      <c r="J319" t="s">
        <v>19</v>
      </c>
      <c r="K319" t="str">
        <f ca="1">IF(TODAY()&gt;H319,"Expired","Active")</f>
        <v>Active</v>
      </c>
    </row>
    <row r="320" spans="1:11" x14ac:dyDescent="0.25">
      <c r="A320" t="s">
        <v>1502</v>
      </c>
      <c r="B320" t="s">
        <v>20</v>
      </c>
      <c r="C320" t="s">
        <v>30</v>
      </c>
      <c r="D320" t="s">
        <v>1503</v>
      </c>
      <c r="E320" t="s">
        <v>17</v>
      </c>
      <c r="F320" t="s">
        <v>1504</v>
      </c>
      <c r="G320" s="3">
        <v>45958</v>
      </c>
      <c r="H320" s="3">
        <v>46323</v>
      </c>
      <c r="I320" s="5">
        <v>1676.42</v>
      </c>
      <c r="J320" t="s">
        <v>19</v>
      </c>
      <c r="K320" t="str">
        <f ca="1">IF(TODAY()&gt;H320,"Expired","Active")</f>
        <v>Active</v>
      </c>
    </row>
    <row r="321" spans="1:11" x14ac:dyDescent="0.25">
      <c r="A321" t="s">
        <v>1505</v>
      </c>
      <c r="B321" t="s">
        <v>15</v>
      </c>
      <c r="C321" t="s">
        <v>31</v>
      </c>
      <c r="D321" t="s">
        <v>1506</v>
      </c>
      <c r="E321" t="s">
        <v>22</v>
      </c>
      <c r="F321" t="s">
        <v>1507</v>
      </c>
      <c r="G321" s="3">
        <v>45553</v>
      </c>
      <c r="H321" s="3">
        <v>45918</v>
      </c>
      <c r="I321" s="5">
        <v>516.75</v>
      </c>
      <c r="J321" t="s">
        <v>14</v>
      </c>
      <c r="K321" t="str">
        <f ca="1">IF(TODAY()&gt;H321,"Expired","Active")</f>
        <v>Expired</v>
      </c>
    </row>
    <row r="322" spans="1:11" x14ac:dyDescent="0.25">
      <c r="A322" t="s">
        <v>1508</v>
      </c>
      <c r="B322" t="s">
        <v>26</v>
      </c>
      <c r="C322" t="s">
        <v>58</v>
      </c>
      <c r="D322" t="s">
        <v>1509</v>
      </c>
      <c r="E322" t="s">
        <v>34</v>
      </c>
      <c r="F322" t="s">
        <v>625</v>
      </c>
      <c r="G322" s="3">
        <v>45283</v>
      </c>
      <c r="H322" s="3">
        <v>46379</v>
      </c>
      <c r="I322" s="5">
        <v>686.04</v>
      </c>
      <c r="J322" t="s">
        <v>19</v>
      </c>
      <c r="K322" t="str">
        <f ca="1">IF(TODAY()&gt;H322,"Expired","Active")</f>
        <v>Active</v>
      </c>
    </row>
    <row r="323" spans="1:11" x14ac:dyDescent="0.25">
      <c r="A323" t="s">
        <v>1510</v>
      </c>
      <c r="B323" t="s">
        <v>24</v>
      </c>
      <c r="C323" t="s">
        <v>56</v>
      </c>
      <c r="D323" t="s">
        <v>1511</v>
      </c>
      <c r="E323" t="s">
        <v>32</v>
      </c>
      <c r="F323" t="s">
        <v>1512</v>
      </c>
      <c r="G323" s="3">
        <v>45039</v>
      </c>
      <c r="H323" s="3">
        <v>46135</v>
      </c>
      <c r="I323" s="5">
        <v>888.84</v>
      </c>
      <c r="J323" t="s">
        <v>14</v>
      </c>
      <c r="K323" t="str">
        <f ca="1">IF(TODAY()&gt;H323,"Expired","Active")</f>
        <v>Active</v>
      </c>
    </row>
    <row r="324" spans="1:11" x14ac:dyDescent="0.25">
      <c r="A324" t="s">
        <v>1513</v>
      </c>
      <c r="B324" t="s">
        <v>24</v>
      </c>
      <c r="C324" t="s">
        <v>69</v>
      </c>
      <c r="D324" t="s">
        <v>1514</v>
      </c>
      <c r="E324" t="s">
        <v>17</v>
      </c>
      <c r="F324" t="s">
        <v>1515</v>
      </c>
      <c r="G324" s="3">
        <v>45055</v>
      </c>
      <c r="H324" s="3">
        <v>46151</v>
      </c>
      <c r="I324" s="5">
        <v>1152.8499999999999</v>
      </c>
      <c r="J324" t="s">
        <v>35</v>
      </c>
      <c r="K324" t="str">
        <f ca="1">IF(TODAY()&gt;H324,"Expired","Active")</f>
        <v>Active</v>
      </c>
    </row>
    <row r="325" spans="1:11" x14ac:dyDescent="0.25">
      <c r="A325" t="s">
        <v>1516</v>
      </c>
      <c r="B325" t="s">
        <v>15</v>
      </c>
      <c r="C325" t="s">
        <v>21</v>
      </c>
      <c r="D325" t="s">
        <v>1517</v>
      </c>
      <c r="E325" t="s">
        <v>32</v>
      </c>
      <c r="F325" t="s">
        <v>1518</v>
      </c>
      <c r="G325" s="3">
        <v>45634</v>
      </c>
      <c r="H325" s="3">
        <v>46729</v>
      </c>
      <c r="I325" s="5">
        <v>759.03</v>
      </c>
      <c r="J325" t="s">
        <v>19</v>
      </c>
      <c r="K325" t="str">
        <f ca="1">IF(TODAY()&gt;H325,"Expired","Active")</f>
        <v>Active</v>
      </c>
    </row>
    <row r="326" spans="1:11" x14ac:dyDescent="0.25">
      <c r="A326" t="s">
        <v>1519</v>
      </c>
      <c r="B326" t="s">
        <v>26</v>
      </c>
      <c r="C326" t="s">
        <v>41</v>
      </c>
      <c r="D326" t="s">
        <v>1520</v>
      </c>
      <c r="E326" t="s">
        <v>32</v>
      </c>
      <c r="F326" t="s">
        <v>1521</v>
      </c>
      <c r="G326" s="3">
        <v>45340</v>
      </c>
      <c r="H326" s="3">
        <v>45706</v>
      </c>
      <c r="I326" s="5">
        <v>657.63</v>
      </c>
      <c r="J326" t="s">
        <v>23</v>
      </c>
      <c r="K326" t="str">
        <f ca="1">IF(TODAY()&gt;H326,"Expired","Active")</f>
        <v>Expired</v>
      </c>
    </row>
    <row r="327" spans="1:11" x14ac:dyDescent="0.25">
      <c r="A327" t="s">
        <v>1522</v>
      </c>
      <c r="B327" t="s">
        <v>29</v>
      </c>
      <c r="C327" t="s">
        <v>62</v>
      </c>
      <c r="D327" t="s">
        <v>1523</v>
      </c>
      <c r="E327" t="s">
        <v>17</v>
      </c>
      <c r="F327" t="s">
        <v>1524</v>
      </c>
      <c r="G327" s="3">
        <v>46079</v>
      </c>
      <c r="H327" s="3">
        <v>46444</v>
      </c>
      <c r="I327" s="5">
        <v>9639.6200000000008</v>
      </c>
      <c r="J327" t="s">
        <v>19</v>
      </c>
      <c r="K327" t="str">
        <f ca="1">IF(TODAY()&gt;H327,"Expired","Active")</f>
        <v>Active</v>
      </c>
    </row>
    <row r="328" spans="1:11" x14ac:dyDescent="0.25">
      <c r="A328" t="s">
        <v>1525</v>
      </c>
      <c r="B328" t="s">
        <v>26</v>
      </c>
      <c r="C328" t="s">
        <v>44</v>
      </c>
      <c r="D328" t="s">
        <v>1526</v>
      </c>
      <c r="E328" t="s">
        <v>17</v>
      </c>
      <c r="F328" t="s">
        <v>108</v>
      </c>
      <c r="G328" s="3">
        <v>45435</v>
      </c>
      <c r="H328" s="3">
        <v>46165</v>
      </c>
      <c r="I328" s="5">
        <v>847.47</v>
      </c>
      <c r="J328" t="s">
        <v>23</v>
      </c>
      <c r="K328" t="str">
        <f ca="1">IF(TODAY()&gt;H328,"Expired","Active")</f>
        <v>Active</v>
      </c>
    </row>
    <row r="329" spans="1:11" x14ac:dyDescent="0.25">
      <c r="A329" t="s">
        <v>1527</v>
      </c>
      <c r="B329" t="s">
        <v>26</v>
      </c>
      <c r="C329" t="s">
        <v>72</v>
      </c>
      <c r="D329" t="s">
        <v>1528</v>
      </c>
      <c r="E329" t="s">
        <v>37</v>
      </c>
      <c r="F329" t="s">
        <v>626</v>
      </c>
      <c r="G329" s="3">
        <v>45263</v>
      </c>
      <c r="H329" s="3">
        <v>45994</v>
      </c>
      <c r="I329" s="5">
        <v>849.44</v>
      </c>
      <c r="J329" t="s">
        <v>35</v>
      </c>
      <c r="K329" t="str">
        <f ca="1">IF(TODAY()&gt;H329,"Expired","Active")</f>
        <v>Expired</v>
      </c>
    </row>
    <row r="330" spans="1:11" x14ac:dyDescent="0.25">
      <c r="A330" t="s">
        <v>1529</v>
      </c>
      <c r="B330" t="s">
        <v>11</v>
      </c>
      <c r="C330" t="s">
        <v>36</v>
      </c>
      <c r="D330" t="s">
        <v>1530</v>
      </c>
      <c r="E330" t="s">
        <v>32</v>
      </c>
      <c r="F330" t="s">
        <v>627</v>
      </c>
      <c r="G330" s="3">
        <v>45662</v>
      </c>
      <c r="H330" s="3">
        <v>46392</v>
      </c>
      <c r="I330" s="5">
        <v>3471.83</v>
      </c>
      <c r="J330" t="s">
        <v>35</v>
      </c>
      <c r="K330" t="str">
        <f ca="1">IF(TODAY()&gt;H330,"Expired","Active")</f>
        <v>Active</v>
      </c>
    </row>
    <row r="331" spans="1:11" x14ac:dyDescent="0.25">
      <c r="A331" t="s">
        <v>1531</v>
      </c>
      <c r="B331" t="s">
        <v>15</v>
      </c>
      <c r="C331" t="s">
        <v>33</v>
      </c>
      <c r="D331" t="s">
        <v>1532</v>
      </c>
      <c r="E331" t="s">
        <v>39</v>
      </c>
      <c r="F331" t="s">
        <v>628</v>
      </c>
      <c r="G331" s="3">
        <v>45172</v>
      </c>
      <c r="H331" s="3">
        <v>45538</v>
      </c>
      <c r="I331" s="5">
        <v>773.72</v>
      </c>
      <c r="J331" t="s">
        <v>23</v>
      </c>
      <c r="K331" t="str">
        <f ca="1">IF(TODAY()&gt;H331,"Expired","Active")</f>
        <v>Expired</v>
      </c>
    </row>
    <row r="332" spans="1:11" x14ac:dyDescent="0.25">
      <c r="A332" t="s">
        <v>1533</v>
      </c>
      <c r="B332" t="s">
        <v>20</v>
      </c>
      <c r="C332" t="s">
        <v>42</v>
      </c>
      <c r="D332" t="s">
        <v>1534</v>
      </c>
      <c r="E332" t="s">
        <v>22</v>
      </c>
      <c r="F332" t="s">
        <v>1535</v>
      </c>
      <c r="G332" s="3">
        <v>45842</v>
      </c>
      <c r="H332" s="3">
        <v>46207</v>
      </c>
      <c r="I332" s="5">
        <v>1443.31</v>
      </c>
      <c r="J332" t="s">
        <v>19</v>
      </c>
      <c r="K332" t="str">
        <f ca="1">IF(TODAY()&gt;H332,"Expired","Active")</f>
        <v>Active</v>
      </c>
    </row>
    <row r="333" spans="1:11" x14ac:dyDescent="0.25">
      <c r="A333" t="s">
        <v>629</v>
      </c>
      <c r="B333" t="s">
        <v>26</v>
      </c>
      <c r="C333" t="s">
        <v>21</v>
      </c>
      <c r="D333" t="s">
        <v>1536</v>
      </c>
      <c r="E333" t="s">
        <v>34</v>
      </c>
      <c r="F333" t="s">
        <v>1537</v>
      </c>
      <c r="G333" s="3">
        <v>45049</v>
      </c>
      <c r="H333" s="3">
        <v>45780</v>
      </c>
      <c r="I333" s="5">
        <v>994.88</v>
      </c>
      <c r="J333" t="s">
        <v>14</v>
      </c>
      <c r="K333" t="str">
        <f ca="1">IF(TODAY()&gt;H333,"Expired","Active")</f>
        <v>Expired</v>
      </c>
    </row>
    <row r="334" spans="1:11" x14ac:dyDescent="0.25">
      <c r="A334" t="s">
        <v>1538</v>
      </c>
      <c r="B334" t="s">
        <v>20</v>
      </c>
      <c r="C334" t="s">
        <v>65</v>
      </c>
      <c r="D334" t="s">
        <v>1539</v>
      </c>
      <c r="E334" t="s">
        <v>32</v>
      </c>
      <c r="F334" t="s">
        <v>1540</v>
      </c>
      <c r="G334" s="3">
        <v>45339</v>
      </c>
      <c r="H334" s="3">
        <v>46070</v>
      </c>
      <c r="I334" s="5">
        <v>1193.6199999999999</v>
      </c>
      <c r="J334" t="s">
        <v>19</v>
      </c>
      <c r="K334" t="str">
        <f ca="1">IF(TODAY()&gt;H334,"Expired","Active")</f>
        <v>Expired</v>
      </c>
    </row>
    <row r="335" spans="1:11" x14ac:dyDescent="0.25">
      <c r="A335" t="s">
        <v>1541</v>
      </c>
      <c r="B335" t="s">
        <v>29</v>
      </c>
      <c r="C335" t="s">
        <v>47</v>
      </c>
      <c r="D335" t="s">
        <v>1542</v>
      </c>
      <c r="E335" t="s">
        <v>22</v>
      </c>
      <c r="F335" t="s">
        <v>1543</v>
      </c>
      <c r="G335" s="3">
        <v>46041</v>
      </c>
      <c r="H335" s="3">
        <v>47137</v>
      </c>
      <c r="I335" s="5">
        <v>5061.2299999999996</v>
      </c>
      <c r="J335" t="s">
        <v>35</v>
      </c>
      <c r="K335" t="str">
        <f ca="1">IF(TODAY()&gt;H335,"Expired","Active")</f>
        <v>Active</v>
      </c>
    </row>
    <row r="336" spans="1:11" x14ac:dyDescent="0.25">
      <c r="A336" t="s">
        <v>1544</v>
      </c>
      <c r="B336" t="s">
        <v>29</v>
      </c>
      <c r="C336" t="s">
        <v>60</v>
      </c>
      <c r="D336" t="s">
        <v>1545</v>
      </c>
      <c r="E336" t="s">
        <v>32</v>
      </c>
      <c r="F336" t="s">
        <v>1546</v>
      </c>
      <c r="G336" s="3">
        <v>46002</v>
      </c>
      <c r="H336" s="3">
        <v>46367</v>
      </c>
      <c r="I336" s="5">
        <v>3806.45</v>
      </c>
      <c r="J336" t="s">
        <v>23</v>
      </c>
      <c r="K336" t="str">
        <f ca="1">IF(TODAY()&gt;H336,"Expired","Active")</f>
        <v>Active</v>
      </c>
    </row>
    <row r="337" spans="1:11" x14ac:dyDescent="0.25">
      <c r="A337" t="s">
        <v>1547</v>
      </c>
      <c r="B337" t="s">
        <v>20</v>
      </c>
      <c r="C337" t="s">
        <v>25</v>
      </c>
      <c r="D337" t="s">
        <v>1548</v>
      </c>
      <c r="E337" t="s">
        <v>22</v>
      </c>
      <c r="F337" t="s">
        <v>1549</v>
      </c>
      <c r="G337" s="3">
        <v>45905</v>
      </c>
      <c r="H337" s="3">
        <v>46635</v>
      </c>
      <c r="I337" s="5">
        <v>1160.1199999999999</v>
      </c>
      <c r="J337" t="s">
        <v>23</v>
      </c>
      <c r="K337" t="str">
        <f ca="1">IF(TODAY()&gt;H337,"Expired","Active")</f>
        <v>Active</v>
      </c>
    </row>
    <row r="338" spans="1:11" x14ac:dyDescent="0.25">
      <c r="A338" t="s">
        <v>1550</v>
      </c>
      <c r="B338" t="s">
        <v>29</v>
      </c>
      <c r="C338" t="s">
        <v>30</v>
      </c>
      <c r="D338" t="s">
        <v>1551</v>
      </c>
      <c r="E338" t="s">
        <v>34</v>
      </c>
      <c r="F338" t="s">
        <v>1552</v>
      </c>
      <c r="G338" s="3">
        <v>45943</v>
      </c>
      <c r="H338" s="3">
        <v>46673</v>
      </c>
      <c r="I338" s="5">
        <v>6738.58</v>
      </c>
      <c r="J338" t="s">
        <v>14</v>
      </c>
      <c r="K338" t="str">
        <f ca="1">IF(TODAY()&gt;H338,"Expired","Active")</f>
        <v>Active</v>
      </c>
    </row>
    <row r="339" spans="1:11" x14ac:dyDescent="0.25">
      <c r="A339" t="s">
        <v>1553</v>
      </c>
      <c r="B339" t="s">
        <v>11</v>
      </c>
      <c r="C339" t="s">
        <v>72</v>
      </c>
      <c r="D339" t="s">
        <v>1554</v>
      </c>
      <c r="E339" t="s">
        <v>22</v>
      </c>
      <c r="F339" t="s">
        <v>1555</v>
      </c>
      <c r="G339" s="3">
        <v>45759</v>
      </c>
      <c r="H339" s="3">
        <v>46124</v>
      </c>
      <c r="I339" s="5">
        <v>5251.29</v>
      </c>
      <c r="J339" t="s">
        <v>35</v>
      </c>
      <c r="K339" t="str">
        <f ca="1">IF(TODAY()&gt;H339,"Expired","Active")</f>
        <v>Expired</v>
      </c>
    </row>
    <row r="340" spans="1:11" x14ac:dyDescent="0.25">
      <c r="A340" t="s">
        <v>1556</v>
      </c>
      <c r="B340" t="s">
        <v>11</v>
      </c>
      <c r="C340" t="s">
        <v>72</v>
      </c>
      <c r="D340" t="s">
        <v>1557</v>
      </c>
      <c r="E340" t="s">
        <v>39</v>
      </c>
      <c r="F340" t="s">
        <v>1558</v>
      </c>
      <c r="G340" s="3">
        <v>45719</v>
      </c>
      <c r="H340" s="3">
        <v>46815</v>
      </c>
      <c r="I340" s="5">
        <v>5342.1</v>
      </c>
      <c r="J340" t="s">
        <v>14</v>
      </c>
      <c r="K340" t="str">
        <f ca="1">IF(TODAY()&gt;H340,"Expired","Active")</f>
        <v>Active</v>
      </c>
    </row>
    <row r="341" spans="1:11" x14ac:dyDescent="0.25">
      <c r="A341" t="s">
        <v>1559</v>
      </c>
      <c r="B341" t="s">
        <v>11</v>
      </c>
      <c r="C341" t="s">
        <v>44</v>
      </c>
      <c r="D341" t="s">
        <v>1560</v>
      </c>
      <c r="E341" t="s">
        <v>13</v>
      </c>
      <c r="F341" t="s">
        <v>1561</v>
      </c>
      <c r="G341" s="3">
        <v>45744</v>
      </c>
      <c r="H341" s="3">
        <v>46840</v>
      </c>
      <c r="I341" s="5">
        <v>2595.11</v>
      </c>
      <c r="J341" t="s">
        <v>19</v>
      </c>
      <c r="K341" t="str">
        <f ca="1">IF(TODAY()&gt;H341,"Expired","Active")</f>
        <v>Active</v>
      </c>
    </row>
    <row r="342" spans="1:11" x14ac:dyDescent="0.25">
      <c r="A342" t="s">
        <v>1562</v>
      </c>
      <c r="B342" t="s">
        <v>29</v>
      </c>
      <c r="C342" t="s">
        <v>60</v>
      </c>
      <c r="D342" t="s">
        <v>1563</v>
      </c>
      <c r="E342" t="s">
        <v>13</v>
      </c>
      <c r="F342" t="s">
        <v>109</v>
      </c>
      <c r="G342" s="3">
        <v>45555</v>
      </c>
      <c r="H342" s="3">
        <v>45920</v>
      </c>
      <c r="I342" s="5">
        <v>6931.19</v>
      </c>
      <c r="J342" t="s">
        <v>14</v>
      </c>
      <c r="K342" t="str">
        <f ca="1">IF(TODAY()&gt;H342,"Expired","Active")</f>
        <v>Expired</v>
      </c>
    </row>
    <row r="343" spans="1:11" x14ac:dyDescent="0.25">
      <c r="A343" t="s">
        <v>1564</v>
      </c>
      <c r="B343" t="s">
        <v>11</v>
      </c>
      <c r="C343" t="s">
        <v>44</v>
      </c>
      <c r="D343" t="s">
        <v>1565</v>
      </c>
      <c r="E343" t="s">
        <v>13</v>
      </c>
      <c r="F343" t="s">
        <v>1566</v>
      </c>
      <c r="G343" s="3">
        <v>45540</v>
      </c>
      <c r="H343" s="3">
        <v>46635</v>
      </c>
      <c r="I343" s="5">
        <v>4368.1899999999996</v>
      </c>
      <c r="J343" t="s">
        <v>19</v>
      </c>
      <c r="K343" t="str">
        <f ca="1">IF(TODAY()&gt;H343,"Expired","Active")</f>
        <v>Active</v>
      </c>
    </row>
    <row r="344" spans="1:11" x14ac:dyDescent="0.25">
      <c r="A344" t="s">
        <v>1567</v>
      </c>
      <c r="B344" t="s">
        <v>11</v>
      </c>
      <c r="C344" t="s">
        <v>12</v>
      </c>
      <c r="D344" t="s">
        <v>1568</v>
      </c>
      <c r="E344" t="s">
        <v>37</v>
      </c>
      <c r="F344" t="s">
        <v>1569</v>
      </c>
      <c r="G344" s="3">
        <v>45878</v>
      </c>
      <c r="H344" s="3">
        <v>46243</v>
      </c>
      <c r="I344" s="5">
        <v>3274.34</v>
      </c>
      <c r="J344" t="s">
        <v>23</v>
      </c>
      <c r="K344" t="str">
        <f ca="1">IF(TODAY()&gt;H344,"Expired","Active")</f>
        <v>Active</v>
      </c>
    </row>
    <row r="345" spans="1:11" x14ac:dyDescent="0.25">
      <c r="A345" t="s">
        <v>1570</v>
      </c>
      <c r="B345" t="s">
        <v>26</v>
      </c>
      <c r="C345" t="s">
        <v>52</v>
      </c>
      <c r="D345" t="s">
        <v>1571</v>
      </c>
      <c r="E345" t="s">
        <v>39</v>
      </c>
      <c r="F345" t="s">
        <v>110</v>
      </c>
      <c r="G345" s="3">
        <v>45759</v>
      </c>
      <c r="H345" s="3">
        <v>46855</v>
      </c>
      <c r="I345" s="5">
        <v>1161.75</v>
      </c>
      <c r="J345" t="s">
        <v>35</v>
      </c>
      <c r="K345" t="str">
        <f ca="1">IF(TODAY()&gt;H345,"Expired","Active")</f>
        <v>Active</v>
      </c>
    </row>
    <row r="346" spans="1:11" x14ac:dyDescent="0.25">
      <c r="A346" t="s">
        <v>1572</v>
      </c>
      <c r="B346" t="s">
        <v>24</v>
      </c>
      <c r="C346" t="s">
        <v>36</v>
      </c>
      <c r="D346" t="s">
        <v>1573</v>
      </c>
      <c r="E346" t="s">
        <v>22</v>
      </c>
      <c r="F346" t="s">
        <v>630</v>
      </c>
      <c r="G346" s="3">
        <v>45658</v>
      </c>
      <c r="H346" s="3">
        <v>46388</v>
      </c>
      <c r="I346" s="5">
        <v>1194.53</v>
      </c>
      <c r="J346" t="s">
        <v>23</v>
      </c>
      <c r="K346" t="str">
        <f ca="1">IF(TODAY()&gt;H346,"Expired","Active")</f>
        <v>Active</v>
      </c>
    </row>
    <row r="347" spans="1:11" x14ac:dyDescent="0.25">
      <c r="A347" t="s">
        <v>1574</v>
      </c>
      <c r="B347" t="s">
        <v>29</v>
      </c>
      <c r="C347" t="s">
        <v>27</v>
      </c>
      <c r="D347" t="s">
        <v>1575</v>
      </c>
      <c r="E347" t="s">
        <v>17</v>
      </c>
      <c r="F347" t="s">
        <v>111</v>
      </c>
      <c r="G347" s="3">
        <v>45933</v>
      </c>
      <c r="H347" s="3">
        <v>46298</v>
      </c>
      <c r="I347" s="5">
        <v>9615.7999999999993</v>
      </c>
      <c r="J347" t="s">
        <v>14</v>
      </c>
      <c r="K347" t="str">
        <f ca="1">IF(TODAY()&gt;H347,"Expired","Active")</f>
        <v>Active</v>
      </c>
    </row>
    <row r="348" spans="1:11" x14ac:dyDescent="0.25">
      <c r="A348" t="s">
        <v>1576</v>
      </c>
      <c r="B348" t="s">
        <v>26</v>
      </c>
      <c r="C348" t="s">
        <v>62</v>
      </c>
      <c r="D348" t="s">
        <v>1577</v>
      </c>
      <c r="E348" t="s">
        <v>39</v>
      </c>
      <c r="F348" t="s">
        <v>1578</v>
      </c>
      <c r="G348" s="3">
        <v>45905</v>
      </c>
      <c r="H348" s="3">
        <v>46635</v>
      </c>
      <c r="I348" s="5">
        <v>994.98</v>
      </c>
      <c r="J348" t="s">
        <v>14</v>
      </c>
      <c r="K348" t="str">
        <f ca="1">IF(TODAY()&gt;H348,"Expired","Active")</f>
        <v>Active</v>
      </c>
    </row>
    <row r="349" spans="1:11" x14ac:dyDescent="0.25">
      <c r="A349" t="s">
        <v>1579</v>
      </c>
      <c r="B349" t="s">
        <v>15</v>
      </c>
      <c r="C349" t="s">
        <v>58</v>
      </c>
      <c r="D349" t="s">
        <v>1580</v>
      </c>
      <c r="E349" t="s">
        <v>22</v>
      </c>
      <c r="F349" t="s">
        <v>1581</v>
      </c>
      <c r="G349" s="3">
        <v>45479</v>
      </c>
      <c r="H349" s="3">
        <v>45844</v>
      </c>
      <c r="I349" s="5">
        <v>606.16999999999996</v>
      </c>
      <c r="J349" t="s">
        <v>23</v>
      </c>
      <c r="K349" t="str">
        <f ca="1">IF(TODAY()&gt;H349,"Expired","Active")</f>
        <v>Expired</v>
      </c>
    </row>
    <row r="350" spans="1:11" x14ac:dyDescent="0.25">
      <c r="A350" t="s">
        <v>1582</v>
      </c>
      <c r="B350" t="s">
        <v>24</v>
      </c>
      <c r="C350" t="s">
        <v>49</v>
      </c>
      <c r="D350" t="s">
        <v>1583</v>
      </c>
      <c r="E350" t="s">
        <v>34</v>
      </c>
      <c r="F350" t="s">
        <v>1584</v>
      </c>
      <c r="G350" s="3">
        <v>45716</v>
      </c>
      <c r="H350" s="3">
        <v>46081</v>
      </c>
      <c r="I350" s="5">
        <v>1562.61</v>
      </c>
      <c r="J350" t="s">
        <v>23</v>
      </c>
      <c r="K350" t="str">
        <f ca="1">IF(TODAY()&gt;H350,"Expired","Active")</f>
        <v>Expired</v>
      </c>
    </row>
    <row r="351" spans="1:11" x14ac:dyDescent="0.25">
      <c r="A351" t="s">
        <v>1585</v>
      </c>
      <c r="B351" t="s">
        <v>11</v>
      </c>
      <c r="C351" t="s">
        <v>55</v>
      </c>
      <c r="D351" t="s">
        <v>1586</v>
      </c>
      <c r="E351" t="s">
        <v>32</v>
      </c>
      <c r="F351" t="s">
        <v>1587</v>
      </c>
      <c r="G351" s="3">
        <v>45030</v>
      </c>
      <c r="H351" s="3">
        <v>45396</v>
      </c>
      <c r="I351" s="5">
        <v>6227.92</v>
      </c>
      <c r="J351" t="s">
        <v>23</v>
      </c>
      <c r="K351" t="str">
        <f ca="1">IF(TODAY()&gt;H351,"Expired","Active")</f>
        <v>Expired</v>
      </c>
    </row>
    <row r="352" spans="1:11" x14ac:dyDescent="0.25">
      <c r="A352" t="s">
        <v>1588</v>
      </c>
      <c r="B352" t="s">
        <v>26</v>
      </c>
      <c r="C352" t="s">
        <v>43</v>
      </c>
      <c r="D352" t="s">
        <v>1589</v>
      </c>
      <c r="E352" t="s">
        <v>32</v>
      </c>
      <c r="F352" t="s">
        <v>631</v>
      </c>
      <c r="G352" s="3">
        <v>45317</v>
      </c>
      <c r="H352" s="3">
        <v>45683</v>
      </c>
      <c r="I352" s="5">
        <v>1184.8499999999999</v>
      </c>
      <c r="J352" t="s">
        <v>23</v>
      </c>
      <c r="K352" t="str">
        <f ca="1">IF(TODAY()&gt;H352,"Expired","Active")</f>
        <v>Expired</v>
      </c>
    </row>
    <row r="353" spans="1:11" x14ac:dyDescent="0.25">
      <c r="A353" t="s">
        <v>1590</v>
      </c>
      <c r="B353" t="s">
        <v>15</v>
      </c>
      <c r="C353" t="s">
        <v>55</v>
      </c>
      <c r="D353" t="s">
        <v>1591</v>
      </c>
      <c r="E353" t="s">
        <v>17</v>
      </c>
      <c r="F353" t="s">
        <v>1592</v>
      </c>
      <c r="G353" s="3">
        <v>45211</v>
      </c>
      <c r="H353" s="3">
        <v>46307</v>
      </c>
      <c r="I353" s="5">
        <v>531.62</v>
      </c>
      <c r="J353" t="s">
        <v>14</v>
      </c>
      <c r="K353" t="str">
        <f ca="1">IF(TODAY()&gt;H353,"Expired","Active")</f>
        <v>Active</v>
      </c>
    </row>
    <row r="354" spans="1:11" x14ac:dyDescent="0.25">
      <c r="A354" t="s">
        <v>1593</v>
      </c>
      <c r="B354" t="s">
        <v>20</v>
      </c>
      <c r="C354" t="s">
        <v>30</v>
      </c>
      <c r="D354" t="s">
        <v>1594</v>
      </c>
      <c r="E354" t="s">
        <v>22</v>
      </c>
      <c r="F354" t="s">
        <v>1595</v>
      </c>
      <c r="G354" s="3">
        <v>45141</v>
      </c>
      <c r="H354" s="3">
        <v>45507</v>
      </c>
      <c r="I354" s="5">
        <v>1173.01</v>
      </c>
      <c r="J354" t="s">
        <v>19</v>
      </c>
      <c r="K354" t="str">
        <f ca="1">IF(TODAY()&gt;H354,"Expired","Active")</f>
        <v>Expired</v>
      </c>
    </row>
    <row r="355" spans="1:11" x14ac:dyDescent="0.25">
      <c r="A355" t="s">
        <v>1596</v>
      </c>
      <c r="B355" t="s">
        <v>20</v>
      </c>
      <c r="C355" t="s">
        <v>36</v>
      </c>
      <c r="D355" t="s">
        <v>1597</v>
      </c>
      <c r="E355" t="s">
        <v>34</v>
      </c>
      <c r="F355" t="s">
        <v>1598</v>
      </c>
      <c r="G355" s="3">
        <v>45150</v>
      </c>
      <c r="H355" s="3">
        <v>46246</v>
      </c>
      <c r="I355" s="5">
        <v>1134.8399999999999</v>
      </c>
      <c r="J355" t="s">
        <v>35</v>
      </c>
      <c r="K355" t="str">
        <f ca="1">IF(TODAY()&gt;H355,"Expired","Active")</f>
        <v>Active</v>
      </c>
    </row>
    <row r="356" spans="1:11" x14ac:dyDescent="0.25">
      <c r="A356" t="s">
        <v>1599</v>
      </c>
      <c r="B356" t="s">
        <v>11</v>
      </c>
      <c r="C356" t="s">
        <v>69</v>
      </c>
      <c r="D356" t="s">
        <v>1600</v>
      </c>
      <c r="E356" t="s">
        <v>32</v>
      </c>
      <c r="F356" t="s">
        <v>1601</v>
      </c>
      <c r="G356" s="3">
        <v>45005</v>
      </c>
      <c r="H356" s="3">
        <v>46101</v>
      </c>
      <c r="I356" s="5">
        <v>6943.31</v>
      </c>
      <c r="J356" t="s">
        <v>19</v>
      </c>
      <c r="K356" t="str">
        <f ca="1">IF(TODAY()&gt;H356,"Expired","Active")</f>
        <v>Expired</v>
      </c>
    </row>
    <row r="357" spans="1:11" x14ac:dyDescent="0.25">
      <c r="A357" t="s">
        <v>1602</v>
      </c>
      <c r="B357" t="s">
        <v>24</v>
      </c>
      <c r="C357" t="s">
        <v>51</v>
      </c>
      <c r="D357" t="s">
        <v>1603</v>
      </c>
      <c r="E357" t="s">
        <v>32</v>
      </c>
      <c r="F357" t="s">
        <v>1604</v>
      </c>
      <c r="G357" s="3">
        <v>46031</v>
      </c>
      <c r="H357" s="3">
        <v>47127</v>
      </c>
      <c r="I357" s="5">
        <v>1344.34</v>
      </c>
      <c r="J357" t="s">
        <v>19</v>
      </c>
      <c r="K357" t="str">
        <f ca="1">IF(TODAY()&gt;H357,"Expired","Active")</f>
        <v>Active</v>
      </c>
    </row>
    <row r="358" spans="1:11" x14ac:dyDescent="0.25">
      <c r="A358" t="s">
        <v>1605</v>
      </c>
      <c r="B358" t="s">
        <v>11</v>
      </c>
      <c r="C358" t="s">
        <v>65</v>
      </c>
      <c r="D358" t="s">
        <v>1606</v>
      </c>
      <c r="E358" t="s">
        <v>22</v>
      </c>
      <c r="F358" t="s">
        <v>632</v>
      </c>
      <c r="G358" s="3">
        <v>46081</v>
      </c>
      <c r="H358" s="3">
        <v>46811</v>
      </c>
      <c r="I358" s="5">
        <v>6126.44</v>
      </c>
      <c r="J358" t="s">
        <v>19</v>
      </c>
      <c r="K358" t="str">
        <f ca="1">IF(TODAY()&gt;H358,"Expired","Active")</f>
        <v>Active</v>
      </c>
    </row>
    <row r="359" spans="1:11" x14ac:dyDescent="0.25">
      <c r="A359" t="s">
        <v>1607</v>
      </c>
      <c r="B359" t="s">
        <v>11</v>
      </c>
      <c r="C359" t="s">
        <v>49</v>
      </c>
      <c r="D359" t="s">
        <v>1608</v>
      </c>
      <c r="E359" t="s">
        <v>39</v>
      </c>
      <c r="F359" t="s">
        <v>1609</v>
      </c>
      <c r="G359" s="3">
        <v>45021</v>
      </c>
      <c r="H359" s="3">
        <v>45752</v>
      </c>
      <c r="I359" s="5">
        <v>2658.95</v>
      </c>
      <c r="J359" t="s">
        <v>19</v>
      </c>
      <c r="K359" t="str">
        <f ca="1">IF(TODAY()&gt;H359,"Expired","Active")</f>
        <v>Expired</v>
      </c>
    </row>
    <row r="360" spans="1:11" x14ac:dyDescent="0.25">
      <c r="A360" t="s">
        <v>1610</v>
      </c>
      <c r="B360" t="s">
        <v>11</v>
      </c>
      <c r="C360" t="s">
        <v>44</v>
      </c>
      <c r="D360" t="s">
        <v>1611</v>
      </c>
      <c r="E360" t="s">
        <v>13</v>
      </c>
      <c r="F360" t="s">
        <v>112</v>
      </c>
      <c r="G360" s="3">
        <v>46060</v>
      </c>
      <c r="H360" s="3">
        <v>46425</v>
      </c>
      <c r="I360" s="5">
        <v>6380.75</v>
      </c>
      <c r="J360" t="s">
        <v>19</v>
      </c>
      <c r="K360" t="str">
        <f ca="1">IF(TODAY()&gt;H360,"Expired","Active")</f>
        <v>Active</v>
      </c>
    </row>
    <row r="361" spans="1:11" x14ac:dyDescent="0.25">
      <c r="A361" t="s">
        <v>1612</v>
      </c>
      <c r="B361" t="s">
        <v>15</v>
      </c>
      <c r="C361" t="s">
        <v>60</v>
      </c>
      <c r="D361" t="s">
        <v>1613</v>
      </c>
      <c r="E361" t="s">
        <v>34</v>
      </c>
      <c r="F361" t="s">
        <v>1614</v>
      </c>
      <c r="G361" s="3">
        <v>45107</v>
      </c>
      <c r="H361" s="3">
        <v>46203</v>
      </c>
      <c r="I361" s="5">
        <v>422.7</v>
      </c>
      <c r="J361" t="s">
        <v>14</v>
      </c>
      <c r="K361" t="str">
        <f ca="1">IF(TODAY()&gt;H361,"Expired","Active")</f>
        <v>Active</v>
      </c>
    </row>
    <row r="362" spans="1:11" x14ac:dyDescent="0.25">
      <c r="A362" t="s">
        <v>1615</v>
      </c>
      <c r="B362" t="s">
        <v>11</v>
      </c>
      <c r="C362" t="s">
        <v>44</v>
      </c>
      <c r="D362" t="s">
        <v>1616</v>
      </c>
      <c r="E362" t="s">
        <v>37</v>
      </c>
      <c r="F362" t="s">
        <v>1617</v>
      </c>
      <c r="G362" s="3">
        <v>46080</v>
      </c>
      <c r="H362" s="3">
        <v>47176</v>
      </c>
      <c r="I362" s="5">
        <v>4431.43</v>
      </c>
      <c r="J362" t="s">
        <v>14</v>
      </c>
      <c r="K362" t="str">
        <f ca="1">IF(TODAY()&gt;H362,"Expired","Active")</f>
        <v>Active</v>
      </c>
    </row>
    <row r="363" spans="1:11" x14ac:dyDescent="0.25">
      <c r="A363" t="s">
        <v>1618</v>
      </c>
      <c r="B363" t="s">
        <v>20</v>
      </c>
      <c r="C363" t="s">
        <v>58</v>
      </c>
      <c r="D363" t="s">
        <v>1619</v>
      </c>
      <c r="E363" t="s">
        <v>17</v>
      </c>
      <c r="F363" t="s">
        <v>1620</v>
      </c>
      <c r="G363" s="3">
        <v>45928</v>
      </c>
      <c r="H363" s="3">
        <v>46293</v>
      </c>
      <c r="I363" s="5">
        <v>1389.57</v>
      </c>
      <c r="J363" t="s">
        <v>14</v>
      </c>
      <c r="K363" t="str">
        <f ca="1">IF(TODAY()&gt;H363,"Expired","Active")</f>
        <v>Active</v>
      </c>
    </row>
    <row r="364" spans="1:11" x14ac:dyDescent="0.25">
      <c r="A364" t="s">
        <v>1621</v>
      </c>
      <c r="B364" t="s">
        <v>29</v>
      </c>
      <c r="C364" t="s">
        <v>12</v>
      </c>
      <c r="D364" t="s">
        <v>1622</v>
      </c>
      <c r="E364" t="s">
        <v>37</v>
      </c>
      <c r="F364" t="s">
        <v>1623</v>
      </c>
      <c r="G364" s="3">
        <v>45025</v>
      </c>
      <c r="H364" s="3">
        <v>45391</v>
      </c>
      <c r="I364" s="5">
        <v>4764.17</v>
      </c>
      <c r="J364" t="s">
        <v>23</v>
      </c>
      <c r="K364" t="str">
        <f ca="1">IF(TODAY()&gt;H364,"Expired","Active")</f>
        <v>Expired</v>
      </c>
    </row>
    <row r="365" spans="1:11" x14ac:dyDescent="0.25">
      <c r="A365" t="s">
        <v>1624</v>
      </c>
      <c r="B365" t="s">
        <v>24</v>
      </c>
      <c r="C365" t="s">
        <v>27</v>
      </c>
      <c r="D365" t="s">
        <v>1625</v>
      </c>
      <c r="E365" t="s">
        <v>17</v>
      </c>
      <c r="F365" t="s">
        <v>1626</v>
      </c>
      <c r="G365" s="3">
        <v>46084</v>
      </c>
      <c r="H365" s="3">
        <v>46449</v>
      </c>
      <c r="I365" s="5">
        <v>1447.09</v>
      </c>
      <c r="J365" t="s">
        <v>23</v>
      </c>
      <c r="K365" t="str">
        <f ca="1">IF(TODAY()&gt;H365,"Expired","Active")</f>
        <v>Active</v>
      </c>
    </row>
    <row r="366" spans="1:11" x14ac:dyDescent="0.25">
      <c r="A366" t="s">
        <v>1627</v>
      </c>
      <c r="B366" t="s">
        <v>24</v>
      </c>
      <c r="C366" t="s">
        <v>77</v>
      </c>
      <c r="D366" t="s">
        <v>1628</v>
      </c>
      <c r="E366" t="s">
        <v>17</v>
      </c>
      <c r="F366" t="s">
        <v>113</v>
      </c>
      <c r="G366" s="3">
        <v>45795</v>
      </c>
      <c r="H366" s="3">
        <v>46525</v>
      </c>
      <c r="I366" s="5">
        <v>819.57</v>
      </c>
      <c r="J366" t="s">
        <v>23</v>
      </c>
      <c r="K366" t="str">
        <f ca="1">IF(TODAY()&gt;H366,"Expired","Active")</f>
        <v>Active</v>
      </c>
    </row>
    <row r="367" spans="1:11" x14ac:dyDescent="0.25">
      <c r="A367" t="s">
        <v>1629</v>
      </c>
      <c r="B367" t="s">
        <v>11</v>
      </c>
      <c r="C367" t="s">
        <v>21</v>
      </c>
      <c r="D367" t="s">
        <v>1630</v>
      </c>
      <c r="E367" t="s">
        <v>17</v>
      </c>
      <c r="F367" t="s">
        <v>1631</v>
      </c>
      <c r="G367" s="3">
        <v>45526</v>
      </c>
      <c r="H367" s="3">
        <v>46621</v>
      </c>
      <c r="I367" s="5">
        <v>3155.91</v>
      </c>
      <c r="J367" t="s">
        <v>35</v>
      </c>
      <c r="K367" t="str">
        <f ca="1">IF(TODAY()&gt;H367,"Expired","Active")</f>
        <v>Active</v>
      </c>
    </row>
    <row r="368" spans="1:11" x14ac:dyDescent="0.25">
      <c r="A368" t="s">
        <v>1632</v>
      </c>
      <c r="B368" t="s">
        <v>24</v>
      </c>
      <c r="C368" t="s">
        <v>58</v>
      </c>
      <c r="D368" t="s">
        <v>1633</v>
      </c>
      <c r="E368" t="s">
        <v>37</v>
      </c>
      <c r="F368" t="s">
        <v>1634</v>
      </c>
      <c r="G368" s="3">
        <v>45316</v>
      </c>
      <c r="H368" s="3">
        <v>46047</v>
      </c>
      <c r="I368" s="5">
        <v>1883.53</v>
      </c>
      <c r="J368" t="s">
        <v>19</v>
      </c>
      <c r="K368" t="str">
        <f ca="1">IF(TODAY()&gt;H368,"Expired","Active")</f>
        <v>Expired</v>
      </c>
    </row>
    <row r="369" spans="1:11" x14ac:dyDescent="0.25">
      <c r="A369" t="s">
        <v>1635</v>
      </c>
      <c r="B369" t="s">
        <v>15</v>
      </c>
      <c r="C369" t="s">
        <v>43</v>
      </c>
      <c r="D369" t="s">
        <v>1636</v>
      </c>
      <c r="E369" t="s">
        <v>37</v>
      </c>
      <c r="F369" t="s">
        <v>1637</v>
      </c>
      <c r="G369" s="3">
        <v>45112</v>
      </c>
      <c r="H369" s="3">
        <v>46208</v>
      </c>
      <c r="I369" s="5">
        <v>619.5</v>
      </c>
      <c r="J369" t="s">
        <v>35</v>
      </c>
      <c r="K369" t="str">
        <f ca="1">IF(TODAY()&gt;H369,"Expired","Active")</f>
        <v>Active</v>
      </c>
    </row>
    <row r="370" spans="1:11" x14ac:dyDescent="0.25">
      <c r="A370" t="s">
        <v>1638</v>
      </c>
      <c r="B370" t="s">
        <v>24</v>
      </c>
      <c r="C370" t="s">
        <v>30</v>
      </c>
      <c r="D370" t="s">
        <v>1639</v>
      </c>
      <c r="E370" t="s">
        <v>17</v>
      </c>
      <c r="F370" t="s">
        <v>1640</v>
      </c>
      <c r="G370" s="3">
        <v>45490</v>
      </c>
      <c r="H370" s="3">
        <v>45855</v>
      </c>
      <c r="I370" s="5">
        <v>1257.18</v>
      </c>
      <c r="J370" t="s">
        <v>14</v>
      </c>
      <c r="K370" t="str">
        <f ca="1">IF(TODAY()&gt;H370,"Expired","Active")</f>
        <v>Expired</v>
      </c>
    </row>
    <row r="371" spans="1:11" x14ac:dyDescent="0.25">
      <c r="A371" t="s">
        <v>1641</v>
      </c>
      <c r="B371" t="s">
        <v>29</v>
      </c>
      <c r="C371" t="s">
        <v>65</v>
      </c>
      <c r="D371" t="s">
        <v>1642</v>
      </c>
      <c r="E371" t="s">
        <v>39</v>
      </c>
      <c r="F371" t="s">
        <v>1643</v>
      </c>
      <c r="G371" s="3">
        <v>45636</v>
      </c>
      <c r="H371" s="3">
        <v>46001</v>
      </c>
      <c r="I371" s="5">
        <v>3714.17</v>
      </c>
      <c r="J371" t="s">
        <v>35</v>
      </c>
      <c r="K371" t="str">
        <f ca="1">IF(TODAY()&gt;H371,"Expired","Active")</f>
        <v>Expired</v>
      </c>
    </row>
    <row r="372" spans="1:11" x14ac:dyDescent="0.25">
      <c r="A372" t="s">
        <v>1644</v>
      </c>
      <c r="B372" t="s">
        <v>20</v>
      </c>
      <c r="C372" t="s">
        <v>51</v>
      </c>
      <c r="D372" t="s">
        <v>1645</v>
      </c>
      <c r="E372" t="s">
        <v>37</v>
      </c>
      <c r="F372" t="s">
        <v>633</v>
      </c>
      <c r="G372" s="3">
        <v>45356</v>
      </c>
      <c r="H372" s="3">
        <v>45721</v>
      </c>
      <c r="I372" s="5">
        <v>1016.65</v>
      </c>
      <c r="J372" t="s">
        <v>23</v>
      </c>
      <c r="K372" t="str">
        <f ca="1">IF(TODAY()&gt;H372,"Expired","Active")</f>
        <v>Expired</v>
      </c>
    </row>
    <row r="373" spans="1:11" x14ac:dyDescent="0.25">
      <c r="A373" t="s">
        <v>1646</v>
      </c>
      <c r="B373" t="s">
        <v>24</v>
      </c>
      <c r="C373" t="s">
        <v>16</v>
      </c>
      <c r="D373" t="s">
        <v>1647</v>
      </c>
      <c r="E373" t="s">
        <v>39</v>
      </c>
      <c r="F373" t="s">
        <v>634</v>
      </c>
      <c r="G373" s="3">
        <v>45055</v>
      </c>
      <c r="H373" s="3">
        <v>45786</v>
      </c>
      <c r="I373" s="5">
        <v>1160.28</v>
      </c>
      <c r="J373" t="s">
        <v>35</v>
      </c>
      <c r="K373" t="str">
        <f ca="1">IF(TODAY()&gt;H373,"Expired","Active")</f>
        <v>Expired</v>
      </c>
    </row>
    <row r="374" spans="1:11" x14ac:dyDescent="0.25">
      <c r="A374" t="s">
        <v>1648</v>
      </c>
      <c r="B374" t="s">
        <v>11</v>
      </c>
      <c r="C374" t="s">
        <v>56</v>
      </c>
      <c r="D374" t="s">
        <v>1649</v>
      </c>
      <c r="E374" t="s">
        <v>37</v>
      </c>
      <c r="F374" t="s">
        <v>114</v>
      </c>
      <c r="G374" s="3">
        <v>45631</v>
      </c>
      <c r="H374" s="3">
        <v>46726</v>
      </c>
      <c r="I374" s="5">
        <v>6336.24</v>
      </c>
      <c r="J374" t="s">
        <v>19</v>
      </c>
      <c r="K374" t="str">
        <f ca="1">IF(TODAY()&gt;H374,"Expired","Active")</f>
        <v>Active</v>
      </c>
    </row>
    <row r="375" spans="1:11" x14ac:dyDescent="0.25">
      <c r="A375" t="s">
        <v>1650</v>
      </c>
      <c r="B375" t="s">
        <v>24</v>
      </c>
      <c r="C375" t="s">
        <v>30</v>
      </c>
      <c r="D375" t="s">
        <v>1651</v>
      </c>
      <c r="E375" t="s">
        <v>37</v>
      </c>
      <c r="F375" t="s">
        <v>1652</v>
      </c>
      <c r="G375" s="3">
        <v>45513</v>
      </c>
      <c r="H375" s="3">
        <v>46243</v>
      </c>
      <c r="I375" s="5">
        <v>1544.97</v>
      </c>
      <c r="J375" t="s">
        <v>23</v>
      </c>
      <c r="K375" t="str">
        <f ca="1">IF(TODAY()&gt;H375,"Expired","Active")</f>
        <v>Active</v>
      </c>
    </row>
    <row r="376" spans="1:11" x14ac:dyDescent="0.25">
      <c r="A376" t="s">
        <v>115</v>
      </c>
      <c r="B376" t="s">
        <v>24</v>
      </c>
      <c r="C376" t="s">
        <v>31</v>
      </c>
      <c r="D376" t="s">
        <v>1653</v>
      </c>
      <c r="E376" t="s">
        <v>39</v>
      </c>
      <c r="F376" t="s">
        <v>1654</v>
      </c>
      <c r="G376" s="3">
        <v>45068</v>
      </c>
      <c r="H376" s="3">
        <v>46164</v>
      </c>
      <c r="I376" s="5">
        <v>1717.5</v>
      </c>
      <c r="J376" t="s">
        <v>19</v>
      </c>
      <c r="K376" t="str">
        <f ca="1">IF(TODAY()&gt;H376,"Expired","Active")</f>
        <v>Active</v>
      </c>
    </row>
    <row r="377" spans="1:11" x14ac:dyDescent="0.25">
      <c r="A377" t="s">
        <v>1655</v>
      </c>
      <c r="B377" t="s">
        <v>24</v>
      </c>
      <c r="C377" t="s">
        <v>31</v>
      </c>
      <c r="D377" t="s">
        <v>1656</v>
      </c>
      <c r="E377" t="s">
        <v>22</v>
      </c>
      <c r="F377" t="s">
        <v>1657</v>
      </c>
      <c r="G377" s="3">
        <v>45354</v>
      </c>
      <c r="H377" s="3">
        <v>46449</v>
      </c>
      <c r="I377" s="5">
        <v>1822.69</v>
      </c>
      <c r="J377" t="s">
        <v>23</v>
      </c>
      <c r="K377" t="str">
        <f ca="1">IF(TODAY()&gt;H377,"Expired","Active")</f>
        <v>Active</v>
      </c>
    </row>
    <row r="378" spans="1:11" x14ac:dyDescent="0.25">
      <c r="A378" t="s">
        <v>1658</v>
      </c>
      <c r="B378" t="s">
        <v>26</v>
      </c>
      <c r="C378" t="s">
        <v>47</v>
      </c>
      <c r="D378" t="s">
        <v>1659</v>
      </c>
      <c r="E378" t="s">
        <v>32</v>
      </c>
      <c r="F378" t="s">
        <v>1660</v>
      </c>
      <c r="G378" s="3">
        <v>45025</v>
      </c>
      <c r="H378" s="3">
        <v>46121</v>
      </c>
      <c r="I378" s="5">
        <v>846.86</v>
      </c>
      <c r="J378" t="s">
        <v>19</v>
      </c>
      <c r="K378" t="str">
        <f ca="1">IF(TODAY()&gt;H378,"Expired","Active")</f>
        <v>Expired</v>
      </c>
    </row>
    <row r="379" spans="1:11" x14ac:dyDescent="0.25">
      <c r="A379" t="s">
        <v>1661</v>
      </c>
      <c r="B379" t="s">
        <v>24</v>
      </c>
      <c r="C379" t="s">
        <v>68</v>
      </c>
      <c r="D379" t="s">
        <v>1662</v>
      </c>
      <c r="E379" t="s">
        <v>13</v>
      </c>
      <c r="F379" t="s">
        <v>1663</v>
      </c>
      <c r="G379" s="3">
        <v>45801</v>
      </c>
      <c r="H379" s="3">
        <v>46531</v>
      </c>
      <c r="I379" s="5">
        <v>1206.8599999999999</v>
      </c>
      <c r="J379" t="s">
        <v>23</v>
      </c>
      <c r="K379" t="str">
        <f ca="1">IF(TODAY()&gt;H379,"Expired","Active")</f>
        <v>Active</v>
      </c>
    </row>
    <row r="380" spans="1:11" x14ac:dyDescent="0.25">
      <c r="A380" t="s">
        <v>1664</v>
      </c>
      <c r="B380" t="s">
        <v>15</v>
      </c>
      <c r="C380" t="s">
        <v>30</v>
      </c>
      <c r="D380" t="s">
        <v>1665</v>
      </c>
      <c r="E380" t="s">
        <v>32</v>
      </c>
      <c r="F380" t="s">
        <v>1666</v>
      </c>
      <c r="G380" s="3">
        <v>45508</v>
      </c>
      <c r="H380" s="3">
        <v>46603</v>
      </c>
      <c r="I380" s="5">
        <v>468.82</v>
      </c>
      <c r="J380" t="s">
        <v>35</v>
      </c>
      <c r="K380" t="str">
        <f ca="1">IF(TODAY()&gt;H380,"Expired","Active")</f>
        <v>Active</v>
      </c>
    </row>
    <row r="381" spans="1:11" x14ac:dyDescent="0.25">
      <c r="A381" t="s">
        <v>1667</v>
      </c>
      <c r="B381" t="s">
        <v>15</v>
      </c>
      <c r="C381" t="s">
        <v>25</v>
      </c>
      <c r="D381" t="s">
        <v>1668</v>
      </c>
      <c r="E381" t="s">
        <v>13</v>
      </c>
      <c r="F381" t="s">
        <v>1669</v>
      </c>
      <c r="G381" s="3">
        <v>45835</v>
      </c>
      <c r="H381" s="3">
        <v>46565</v>
      </c>
      <c r="I381" s="5">
        <v>1180.3</v>
      </c>
      <c r="J381" t="s">
        <v>14</v>
      </c>
      <c r="K381" t="str">
        <f ca="1">IF(TODAY()&gt;H381,"Expired","Active")</f>
        <v>Active</v>
      </c>
    </row>
    <row r="382" spans="1:11" x14ac:dyDescent="0.25">
      <c r="A382" t="s">
        <v>1670</v>
      </c>
      <c r="B382" t="s">
        <v>24</v>
      </c>
      <c r="C382" t="s">
        <v>60</v>
      </c>
      <c r="D382" t="s">
        <v>1671</v>
      </c>
      <c r="E382" t="s">
        <v>39</v>
      </c>
      <c r="F382" t="s">
        <v>116</v>
      </c>
      <c r="G382" s="3">
        <v>45248</v>
      </c>
      <c r="H382" s="3">
        <v>46344</v>
      </c>
      <c r="I382" s="5">
        <v>1012.92</v>
      </c>
      <c r="J382" t="s">
        <v>14</v>
      </c>
      <c r="K382" t="str">
        <f ca="1">IF(TODAY()&gt;H382,"Expired","Active")</f>
        <v>Active</v>
      </c>
    </row>
    <row r="383" spans="1:11" x14ac:dyDescent="0.25">
      <c r="A383" t="s">
        <v>635</v>
      </c>
      <c r="B383" t="s">
        <v>24</v>
      </c>
      <c r="C383" t="s">
        <v>50</v>
      </c>
      <c r="D383" t="s">
        <v>1672</v>
      </c>
      <c r="E383" t="s">
        <v>17</v>
      </c>
      <c r="F383" t="s">
        <v>117</v>
      </c>
      <c r="G383" s="3">
        <v>45643</v>
      </c>
      <c r="H383" s="3">
        <v>46738</v>
      </c>
      <c r="I383" s="5">
        <v>1827.03</v>
      </c>
      <c r="J383" t="s">
        <v>14</v>
      </c>
      <c r="K383" t="str">
        <f ca="1">IF(TODAY()&gt;H383,"Expired","Active")</f>
        <v>Active</v>
      </c>
    </row>
    <row r="384" spans="1:11" x14ac:dyDescent="0.25">
      <c r="A384" t="s">
        <v>1673</v>
      </c>
      <c r="B384" t="s">
        <v>15</v>
      </c>
      <c r="C384" t="s">
        <v>27</v>
      </c>
      <c r="D384" t="s">
        <v>1674</v>
      </c>
      <c r="E384" t="s">
        <v>34</v>
      </c>
      <c r="F384" t="s">
        <v>1675</v>
      </c>
      <c r="G384" s="3">
        <v>46048</v>
      </c>
      <c r="H384" s="3">
        <v>46778</v>
      </c>
      <c r="I384" s="5">
        <v>748.94</v>
      </c>
      <c r="J384" t="s">
        <v>19</v>
      </c>
      <c r="K384" t="str">
        <f ca="1">IF(TODAY()&gt;H384,"Expired","Active")</f>
        <v>Active</v>
      </c>
    </row>
    <row r="385" spans="1:11" x14ac:dyDescent="0.25">
      <c r="A385" t="s">
        <v>1676</v>
      </c>
      <c r="B385" t="s">
        <v>26</v>
      </c>
      <c r="C385" t="s">
        <v>44</v>
      </c>
      <c r="D385" t="s">
        <v>1677</v>
      </c>
      <c r="E385" t="s">
        <v>37</v>
      </c>
      <c r="F385" t="s">
        <v>1678</v>
      </c>
      <c r="G385" s="3">
        <v>45875</v>
      </c>
      <c r="H385" s="3">
        <v>46971</v>
      </c>
      <c r="I385" s="5">
        <v>848.88</v>
      </c>
      <c r="J385" t="s">
        <v>19</v>
      </c>
      <c r="K385" t="str">
        <f ca="1">IF(TODAY()&gt;H385,"Expired","Active")</f>
        <v>Active</v>
      </c>
    </row>
    <row r="386" spans="1:11" x14ac:dyDescent="0.25">
      <c r="A386" t="s">
        <v>1679</v>
      </c>
      <c r="B386" t="s">
        <v>29</v>
      </c>
      <c r="C386" t="s">
        <v>47</v>
      </c>
      <c r="D386" t="s">
        <v>1680</v>
      </c>
      <c r="E386" t="s">
        <v>17</v>
      </c>
      <c r="F386" t="s">
        <v>636</v>
      </c>
      <c r="G386" s="3">
        <v>46045</v>
      </c>
      <c r="H386" s="3">
        <v>46775</v>
      </c>
      <c r="I386" s="5">
        <v>6578.24</v>
      </c>
      <c r="J386" t="s">
        <v>14</v>
      </c>
      <c r="K386" t="str">
        <f ca="1">IF(TODAY()&gt;H386,"Expired","Active")</f>
        <v>Active</v>
      </c>
    </row>
    <row r="387" spans="1:11" x14ac:dyDescent="0.25">
      <c r="A387" t="s">
        <v>1681</v>
      </c>
      <c r="B387" t="s">
        <v>15</v>
      </c>
      <c r="C387" t="s">
        <v>16</v>
      </c>
      <c r="D387" t="s">
        <v>1682</v>
      </c>
      <c r="E387" t="s">
        <v>34</v>
      </c>
      <c r="F387" t="s">
        <v>1683</v>
      </c>
      <c r="G387" s="3">
        <v>46084</v>
      </c>
      <c r="H387" s="3">
        <v>46815</v>
      </c>
      <c r="I387" s="5">
        <v>567.9</v>
      </c>
      <c r="J387" t="s">
        <v>23</v>
      </c>
      <c r="K387" t="str">
        <f ca="1">IF(TODAY()&gt;H387,"Expired","Active")</f>
        <v>Active</v>
      </c>
    </row>
    <row r="388" spans="1:11" x14ac:dyDescent="0.25">
      <c r="A388" t="s">
        <v>1684</v>
      </c>
      <c r="B388" t="s">
        <v>24</v>
      </c>
      <c r="C388" t="s">
        <v>21</v>
      </c>
      <c r="D388" t="s">
        <v>1685</v>
      </c>
      <c r="E388" t="s">
        <v>39</v>
      </c>
      <c r="F388" t="s">
        <v>1686</v>
      </c>
      <c r="G388" s="3">
        <v>45656</v>
      </c>
      <c r="H388" s="3">
        <v>46021</v>
      </c>
      <c r="I388" s="5">
        <v>1303.82</v>
      </c>
      <c r="J388" t="s">
        <v>19</v>
      </c>
      <c r="K388" t="str">
        <f ca="1">IF(TODAY()&gt;H388,"Expired","Active")</f>
        <v>Expired</v>
      </c>
    </row>
    <row r="389" spans="1:11" x14ac:dyDescent="0.25">
      <c r="A389" t="s">
        <v>1687</v>
      </c>
      <c r="B389" t="s">
        <v>24</v>
      </c>
      <c r="C389" t="s">
        <v>31</v>
      </c>
      <c r="D389" t="s">
        <v>1688</v>
      </c>
      <c r="E389" t="s">
        <v>32</v>
      </c>
      <c r="F389" t="s">
        <v>1689</v>
      </c>
      <c r="G389" s="3">
        <v>45480</v>
      </c>
      <c r="H389" s="3">
        <v>46210</v>
      </c>
      <c r="I389" s="5">
        <v>1707.84</v>
      </c>
      <c r="J389" t="s">
        <v>14</v>
      </c>
      <c r="K389" t="str">
        <f ca="1">IF(TODAY()&gt;H389,"Expired","Active")</f>
        <v>Active</v>
      </c>
    </row>
    <row r="390" spans="1:11" x14ac:dyDescent="0.25">
      <c r="A390" t="s">
        <v>1690</v>
      </c>
      <c r="B390" t="s">
        <v>20</v>
      </c>
      <c r="C390" t="s">
        <v>33</v>
      </c>
      <c r="D390" t="s">
        <v>1691</v>
      </c>
      <c r="E390" t="s">
        <v>34</v>
      </c>
      <c r="F390" t="s">
        <v>1692</v>
      </c>
      <c r="G390" s="3">
        <v>45929</v>
      </c>
      <c r="H390" s="3">
        <v>46659</v>
      </c>
      <c r="I390" s="5">
        <v>1264.17</v>
      </c>
      <c r="J390" t="s">
        <v>23</v>
      </c>
      <c r="K390" t="str">
        <f ca="1">IF(TODAY()&gt;H390,"Expired","Active")</f>
        <v>Active</v>
      </c>
    </row>
    <row r="391" spans="1:11" x14ac:dyDescent="0.25">
      <c r="A391" t="s">
        <v>118</v>
      </c>
      <c r="B391" t="s">
        <v>20</v>
      </c>
      <c r="C391" t="s">
        <v>36</v>
      </c>
      <c r="D391" t="s">
        <v>1693</v>
      </c>
      <c r="E391" t="s">
        <v>17</v>
      </c>
      <c r="F391" t="s">
        <v>1694</v>
      </c>
      <c r="G391" s="3">
        <v>45537</v>
      </c>
      <c r="H391" s="3">
        <v>46267</v>
      </c>
      <c r="I391" s="5">
        <v>883.53</v>
      </c>
      <c r="J391" t="s">
        <v>19</v>
      </c>
      <c r="K391" t="str">
        <f ca="1">IF(TODAY()&gt;H391,"Expired","Active")</f>
        <v>Active</v>
      </c>
    </row>
    <row r="392" spans="1:11" x14ac:dyDescent="0.25">
      <c r="A392" t="s">
        <v>1695</v>
      </c>
      <c r="B392" t="s">
        <v>11</v>
      </c>
      <c r="C392" t="s">
        <v>65</v>
      </c>
      <c r="D392" t="s">
        <v>1696</v>
      </c>
      <c r="E392" t="s">
        <v>22</v>
      </c>
      <c r="F392" t="s">
        <v>1697</v>
      </c>
      <c r="G392" s="3">
        <v>45003</v>
      </c>
      <c r="H392" s="3">
        <v>45734</v>
      </c>
      <c r="I392" s="5">
        <v>5292.24</v>
      </c>
      <c r="J392" t="s">
        <v>19</v>
      </c>
      <c r="K392" t="str">
        <f ca="1">IF(TODAY()&gt;H392,"Expired","Active")</f>
        <v>Expired</v>
      </c>
    </row>
    <row r="393" spans="1:11" x14ac:dyDescent="0.25">
      <c r="A393" t="s">
        <v>1698</v>
      </c>
      <c r="B393" t="s">
        <v>29</v>
      </c>
      <c r="C393" t="s">
        <v>51</v>
      </c>
      <c r="D393" t="s">
        <v>1699</v>
      </c>
      <c r="E393" t="s">
        <v>34</v>
      </c>
      <c r="F393" t="s">
        <v>1700</v>
      </c>
      <c r="G393" s="3">
        <v>46085</v>
      </c>
      <c r="H393" s="3">
        <v>46450</v>
      </c>
      <c r="I393" s="5">
        <v>10044.129999999999</v>
      </c>
      <c r="J393" t="s">
        <v>14</v>
      </c>
      <c r="K393" t="str">
        <f ca="1">IF(TODAY()&gt;H393,"Expired","Active")</f>
        <v>Active</v>
      </c>
    </row>
    <row r="394" spans="1:11" x14ac:dyDescent="0.25">
      <c r="A394" t="s">
        <v>1701</v>
      </c>
      <c r="B394" t="s">
        <v>11</v>
      </c>
      <c r="C394" t="s">
        <v>25</v>
      </c>
      <c r="D394" t="s">
        <v>1702</v>
      </c>
      <c r="E394" t="s">
        <v>13</v>
      </c>
      <c r="F394" t="s">
        <v>1703</v>
      </c>
      <c r="G394" s="3">
        <v>45790</v>
      </c>
      <c r="H394" s="3">
        <v>46520</v>
      </c>
      <c r="I394" s="5">
        <v>6993.81</v>
      </c>
      <c r="J394" t="s">
        <v>23</v>
      </c>
      <c r="K394" t="str">
        <f ca="1">IF(TODAY()&gt;H394,"Expired","Active")</f>
        <v>Active</v>
      </c>
    </row>
    <row r="395" spans="1:11" x14ac:dyDescent="0.25">
      <c r="A395" t="s">
        <v>1704</v>
      </c>
      <c r="B395" t="s">
        <v>26</v>
      </c>
      <c r="C395" t="s">
        <v>36</v>
      </c>
      <c r="D395" t="s">
        <v>1705</v>
      </c>
      <c r="E395" t="s">
        <v>13</v>
      </c>
      <c r="F395" t="s">
        <v>119</v>
      </c>
      <c r="G395" s="3">
        <v>45925</v>
      </c>
      <c r="H395" s="3">
        <v>46655</v>
      </c>
      <c r="I395" s="5">
        <v>749.46</v>
      </c>
      <c r="J395" t="s">
        <v>23</v>
      </c>
      <c r="K395" t="str">
        <f ca="1">IF(TODAY()&gt;H395,"Expired","Active")</f>
        <v>Active</v>
      </c>
    </row>
    <row r="396" spans="1:11" x14ac:dyDescent="0.25">
      <c r="A396" t="s">
        <v>1706</v>
      </c>
      <c r="B396" t="s">
        <v>11</v>
      </c>
      <c r="C396" t="s">
        <v>50</v>
      </c>
      <c r="D396" t="s">
        <v>1707</v>
      </c>
      <c r="E396" t="s">
        <v>39</v>
      </c>
      <c r="F396" t="s">
        <v>1708</v>
      </c>
      <c r="G396" s="3">
        <v>45004</v>
      </c>
      <c r="H396" s="3">
        <v>45735</v>
      </c>
      <c r="I396" s="5">
        <v>5715.42</v>
      </c>
      <c r="J396" t="s">
        <v>19</v>
      </c>
      <c r="K396" t="str">
        <f ca="1">IF(TODAY()&gt;H396,"Expired","Active")</f>
        <v>Expired</v>
      </c>
    </row>
    <row r="397" spans="1:11" x14ac:dyDescent="0.25">
      <c r="A397" t="s">
        <v>1709</v>
      </c>
      <c r="B397" t="s">
        <v>20</v>
      </c>
      <c r="C397" t="s">
        <v>25</v>
      </c>
      <c r="D397" t="s">
        <v>1710</v>
      </c>
      <c r="E397" t="s">
        <v>34</v>
      </c>
      <c r="F397" t="s">
        <v>1711</v>
      </c>
      <c r="G397" s="3">
        <v>45615</v>
      </c>
      <c r="H397" s="3">
        <v>46710</v>
      </c>
      <c r="I397" s="5">
        <v>1146.51</v>
      </c>
      <c r="J397" t="s">
        <v>23</v>
      </c>
      <c r="K397" t="str">
        <f ca="1">IF(TODAY()&gt;H397,"Expired","Active")</f>
        <v>Active</v>
      </c>
    </row>
    <row r="398" spans="1:11" x14ac:dyDescent="0.25">
      <c r="A398" t="s">
        <v>1712</v>
      </c>
      <c r="B398" t="s">
        <v>24</v>
      </c>
      <c r="C398" t="s">
        <v>42</v>
      </c>
      <c r="D398" t="s">
        <v>1713</v>
      </c>
      <c r="E398" t="s">
        <v>13</v>
      </c>
      <c r="F398" t="s">
        <v>1714</v>
      </c>
      <c r="G398" s="3">
        <v>45659</v>
      </c>
      <c r="H398" s="3">
        <v>46024</v>
      </c>
      <c r="I398" s="5">
        <v>891.12</v>
      </c>
      <c r="J398" t="s">
        <v>35</v>
      </c>
      <c r="K398" t="str">
        <f ca="1">IF(TODAY()&gt;H398,"Expired","Active")</f>
        <v>Expired</v>
      </c>
    </row>
    <row r="399" spans="1:11" x14ac:dyDescent="0.25">
      <c r="A399" t="s">
        <v>1715</v>
      </c>
      <c r="B399" t="s">
        <v>20</v>
      </c>
      <c r="C399" t="s">
        <v>36</v>
      </c>
      <c r="D399" t="s">
        <v>1716</v>
      </c>
      <c r="E399" t="s">
        <v>17</v>
      </c>
      <c r="F399" t="s">
        <v>1717</v>
      </c>
      <c r="G399" s="3">
        <v>45412</v>
      </c>
      <c r="H399" s="3">
        <v>45777</v>
      </c>
      <c r="I399" s="5">
        <v>1368.21</v>
      </c>
      <c r="J399" t="s">
        <v>35</v>
      </c>
      <c r="K399" t="str">
        <f ca="1">IF(TODAY()&gt;H399,"Expired","Active")</f>
        <v>Expired</v>
      </c>
    </row>
    <row r="400" spans="1:11" x14ac:dyDescent="0.25">
      <c r="A400" t="s">
        <v>1718</v>
      </c>
      <c r="B400" t="s">
        <v>15</v>
      </c>
      <c r="C400" t="s">
        <v>65</v>
      </c>
      <c r="D400" t="s">
        <v>1719</v>
      </c>
      <c r="E400" t="s">
        <v>32</v>
      </c>
      <c r="F400" t="s">
        <v>1720</v>
      </c>
      <c r="G400" s="3">
        <v>45096</v>
      </c>
      <c r="H400" s="3">
        <v>46192</v>
      </c>
      <c r="I400" s="5">
        <v>750.19</v>
      </c>
      <c r="J400" t="s">
        <v>19</v>
      </c>
      <c r="K400" t="str">
        <f ca="1">IF(TODAY()&gt;H400,"Expired","Active")</f>
        <v>Active</v>
      </c>
    </row>
    <row r="401" spans="1:11" x14ac:dyDescent="0.25">
      <c r="A401" t="s">
        <v>1721</v>
      </c>
      <c r="B401" t="s">
        <v>20</v>
      </c>
      <c r="C401" t="s">
        <v>56</v>
      </c>
      <c r="D401" t="s">
        <v>1722</v>
      </c>
      <c r="E401" t="s">
        <v>32</v>
      </c>
      <c r="F401" t="s">
        <v>1723</v>
      </c>
      <c r="G401" s="3">
        <v>45308</v>
      </c>
      <c r="H401" s="3">
        <v>45674</v>
      </c>
      <c r="I401" s="5">
        <v>1545.16</v>
      </c>
      <c r="J401" t="s">
        <v>14</v>
      </c>
      <c r="K401" t="str">
        <f ca="1">IF(TODAY()&gt;H401,"Expired","Active")</f>
        <v>Expired</v>
      </c>
    </row>
    <row r="402" spans="1:11" x14ac:dyDescent="0.25">
      <c r="A402" t="s">
        <v>1724</v>
      </c>
      <c r="B402" t="s">
        <v>29</v>
      </c>
      <c r="C402" t="s">
        <v>60</v>
      </c>
      <c r="D402" t="s">
        <v>1725</v>
      </c>
      <c r="E402" t="s">
        <v>17</v>
      </c>
      <c r="F402" t="s">
        <v>120</v>
      </c>
      <c r="G402" s="3">
        <v>45587</v>
      </c>
      <c r="H402" s="3">
        <v>46317</v>
      </c>
      <c r="I402" s="5">
        <v>6234.1</v>
      </c>
      <c r="J402" t="s">
        <v>23</v>
      </c>
      <c r="K402" t="str">
        <f ca="1">IF(TODAY()&gt;H402,"Expired","Active")</f>
        <v>Active</v>
      </c>
    </row>
    <row r="403" spans="1:11" x14ac:dyDescent="0.25">
      <c r="A403" t="s">
        <v>1726</v>
      </c>
      <c r="B403" t="s">
        <v>29</v>
      </c>
      <c r="C403" t="s">
        <v>65</v>
      </c>
      <c r="D403" t="s">
        <v>1727</v>
      </c>
      <c r="E403" t="s">
        <v>17</v>
      </c>
      <c r="F403" t="s">
        <v>637</v>
      </c>
      <c r="G403" s="3">
        <v>45088</v>
      </c>
      <c r="H403" s="3">
        <v>45819</v>
      </c>
      <c r="I403" s="5">
        <v>6657.91</v>
      </c>
      <c r="J403" t="s">
        <v>14</v>
      </c>
      <c r="K403" t="str">
        <f ca="1">IF(TODAY()&gt;H403,"Expired","Active")</f>
        <v>Expired</v>
      </c>
    </row>
    <row r="404" spans="1:11" x14ac:dyDescent="0.25">
      <c r="A404" t="s">
        <v>1728</v>
      </c>
      <c r="B404" t="s">
        <v>26</v>
      </c>
      <c r="C404" t="s">
        <v>72</v>
      </c>
      <c r="D404" t="s">
        <v>1729</v>
      </c>
      <c r="E404" t="s">
        <v>37</v>
      </c>
      <c r="F404" t="s">
        <v>1730</v>
      </c>
      <c r="G404" s="3">
        <v>45610</v>
      </c>
      <c r="H404" s="3">
        <v>45975</v>
      </c>
      <c r="I404" s="5">
        <v>679.42</v>
      </c>
      <c r="J404" t="s">
        <v>23</v>
      </c>
      <c r="K404" t="str">
        <f ca="1">IF(TODAY()&gt;H404,"Expired","Active")</f>
        <v>Expired</v>
      </c>
    </row>
    <row r="405" spans="1:11" x14ac:dyDescent="0.25">
      <c r="A405" t="s">
        <v>1731</v>
      </c>
      <c r="B405" t="s">
        <v>29</v>
      </c>
      <c r="C405" t="s">
        <v>68</v>
      </c>
      <c r="D405" t="s">
        <v>1732</v>
      </c>
      <c r="E405" t="s">
        <v>34</v>
      </c>
      <c r="F405" t="s">
        <v>1733</v>
      </c>
      <c r="G405" s="3">
        <v>45317</v>
      </c>
      <c r="H405" s="3">
        <v>46413</v>
      </c>
      <c r="I405" s="5">
        <v>4861.38</v>
      </c>
      <c r="J405" t="s">
        <v>35</v>
      </c>
      <c r="K405" t="str">
        <f ca="1">IF(TODAY()&gt;H405,"Expired","Active")</f>
        <v>Active</v>
      </c>
    </row>
    <row r="406" spans="1:11" x14ac:dyDescent="0.25">
      <c r="A406" t="s">
        <v>1734</v>
      </c>
      <c r="B406" t="s">
        <v>26</v>
      </c>
      <c r="C406" t="s">
        <v>49</v>
      </c>
      <c r="D406" t="s">
        <v>1735</v>
      </c>
      <c r="E406" t="s">
        <v>22</v>
      </c>
      <c r="F406" t="s">
        <v>638</v>
      </c>
      <c r="G406" s="3">
        <v>45141</v>
      </c>
      <c r="H406" s="3">
        <v>46237</v>
      </c>
      <c r="I406" s="5">
        <v>879.6</v>
      </c>
      <c r="J406" t="s">
        <v>19</v>
      </c>
      <c r="K406" t="str">
        <f ca="1">IF(TODAY()&gt;H406,"Expired","Active")</f>
        <v>Active</v>
      </c>
    </row>
    <row r="407" spans="1:11" x14ac:dyDescent="0.25">
      <c r="A407" t="s">
        <v>1736</v>
      </c>
      <c r="B407" t="s">
        <v>15</v>
      </c>
      <c r="C407" t="s">
        <v>36</v>
      </c>
      <c r="D407" t="s">
        <v>1737</v>
      </c>
      <c r="E407" t="s">
        <v>13</v>
      </c>
      <c r="F407" t="s">
        <v>1738</v>
      </c>
      <c r="G407" s="3">
        <v>45536</v>
      </c>
      <c r="H407" s="3">
        <v>46266</v>
      </c>
      <c r="I407" s="5">
        <v>1085.68</v>
      </c>
      <c r="J407" t="s">
        <v>19</v>
      </c>
      <c r="K407" t="str">
        <f ca="1">IF(TODAY()&gt;H407,"Expired","Active")</f>
        <v>Active</v>
      </c>
    </row>
    <row r="408" spans="1:11" x14ac:dyDescent="0.25">
      <c r="A408" t="s">
        <v>1739</v>
      </c>
      <c r="B408" t="s">
        <v>15</v>
      </c>
      <c r="C408" t="s">
        <v>43</v>
      </c>
      <c r="D408" t="s">
        <v>1740</v>
      </c>
      <c r="E408" t="s">
        <v>32</v>
      </c>
      <c r="F408" t="s">
        <v>121</v>
      </c>
      <c r="G408" s="3">
        <v>45502</v>
      </c>
      <c r="H408" s="3">
        <v>46232</v>
      </c>
      <c r="I408" s="5">
        <v>836.82</v>
      </c>
      <c r="J408" t="s">
        <v>19</v>
      </c>
      <c r="K408" t="str">
        <f ca="1">IF(TODAY()&gt;H408,"Expired","Active")</f>
        <v>Active</v>
      </c>
    </row>
    <row r="409" spans="1:11" x14ac:dyDescent="0.25">
      <c r="A409" t="s">
        <v>122</v>
      </c>
      <c r="B409" t="s">
        <v>15</v>
      </c>
      <c r="C409" t="s">
        <v>53</v>
      </c>
      <c r="D409" t="s">
        <v>1741</v>
      </c>
      <c r="E409" t="s">
        <v>37</v>
      </c>
      <c r="F409" t="s">
        <v>1742</v>
      </c>
      <c r="G409" s="3">
        <v>45518</v>
      </c>
      <c r="H409" s="3">
        <v>46613</v>
      </c>
      <c r="I409" s="5">
        <v>868.68</v>
      </c>
      <c r="J409" t="s">
        <v>14</v>
      </c>
      <c r="K409" t="str">
        <f ca="1">IF(TODAY()&gt;H409,"Expired","Active")</f>
        <v>Active</v>
      </c>
    </row>
    <row r="410" spans="1:11" x14ac:dyDescent="0.25">
      <c r="A410" t="s">
        <v>1743</v>
      </c>
      <c r="B410" t="s">
        <v>24</v>
      </c>
      <c r="C410" t="s">
        <v>25</v>
      </c>
      <c r="D410" t="s">
        <v>1744</v>
      </c>
      <c r="E410" t="s">
        <v>13</v>
      </c>
      <c r="F410" t="s">
        <v>1745</v>
      </c>
      <c r="G410" s="3">
        <v>45925</v>
      </c>
      <c r="H410" s="3">
        <v>46290</v>
      </c>
      <c r="I410" s="5">
        <v>1271.3399999999999</v>
      </c>
      <c r="J410" t="s">
        <v>35</v>
      </c>
      <c r="K410" t="str">
        <f ca="1">IF(TODAY()&gt;H410,"Expired","Active")</f>
        <v>Active</v>
      </c>
    </row>
    <row r="411" spans="1:11" x14ac:dyDescent="0.25">
      <c r="A411" t="s">
        <v>1746</v>
      </c>
      <c r="B411" t="s">
        <v>20</v>
      </c>
      <c r="C411" t="s">
        <v>43</v>
      </c>
      <c r="D411" t="s">
        <v>1747</v>
      </c>
      <c r="E411" t="s">
        <v>37</v>
      </c>
      <c r="F411" t="s">
        <v>1748</v>
      </c>
      <c r="G411" s="3">
        <v>45304</v>
      </c>
      <c r="H411" s="3">
        <v>45670</v>
      </c>
      <c r="I411" s="5">
        <v>1295.46</v>
      </c>
      <c r="J411" t="s">
        <v>14</v>
      </c>
      <c r="K411" t="str">
        <f ca="1">IF(TODAY()&gt;H411,"Expired","Active")</f>
        <v>Expired</v>
      </c>
    </row>
    <row r="412" spans="1:11" x14ac:dyDescent="0.25">
      <c r="A412" t="s">
        <v>1749</v>
      </c>
      <c r="B412" t="s">
        <v>29</v>
      </c>
      <c r="C412" t="s">
        <v>42</v>
      </c>
      <c r="D412" t="s">
        <v>1750</v>
      </c>
      <c r="E412" t="s">
        <v>37</v>
      </c>
      <c r="F412" t="s">
        <v>123</v>
      </c>
      <c r="G412" s="3">
        <v>45273</v>
      </c>
      <c r="H412" s="3">
        <v>46004</v>
      </c>
      <c r="I412" s="5">
        <v>8939.94</v>
      </c>
      <c r="J412" t="s">
        <v>14</v>
      </c>
      <c r="K412" t="str">
        <f ca="1">IF(TODAY()&gt;H412,"Expired","Active")</f>
        <v>Expired</v>
      </c>
    </row>
    <row r="413" spans="1:11" x14ac:dyDescent="0.25">
      <c r="A413" t="s">
        <v>1751</v>
      </c>
      <c r="B413" t="s">
        <v>24</v>
      </c>
      <c r="C413" t="s">
        <v>77</v>
      </c>
      <c r="D413" t="s">
        <v>1752</v>
      </c>
      <c r="E413" t="s">
        <v>17</v>
      </c>
      <c r="F413" t="s">
        <v>1753</v>
      </c>
      <c r="G413" s="3">
        <v>46038</v>
      </c>
      <c r="H413" s="3">
        <v>47134</v>
      </c>
      <c r="I413" s="5">
        <v>1342.47</v>
      </c>
      <c r="J413" t="s">
        <v>19</v>
      </c>
      <c r="K413" t="str">
        <f ca="1">IF(TODAY()&gt;H413,"Expired","Active")</f>
        <v>Active</v>
      </c>
    </row>
    <row r="414" spans="1:11" x14ac:dyDescent="0.25">
      <c r="A414" t="s">
        <v>1754</v>
      </c>
      <c r="B414" t="s">
        <v>29</v>
      </c>
      <c r="C414" t="s">
        <v>41</v>
      </c>
      <c r="D414" t="s">
        <v>1755</v>
      </c>
      <c r="E414" t="s">
        <v>13</v>
      </c>
      <c r="F414" t="s">
        <v>1756</v>
      </c>
      <c r="G414" s="3">
        <v>45059</v>
      </c>
      <c r="H414" s="3">
        <v>45425</v>
      </c>
      <c r="I414" s="5">
        <v>10850.58</v>
      </c>
      <c r="J414" t="s">
        <v>35</v>
      </c>
      <c r="K414" t="str">
        <f ca="1">IF(TODAY()&gt;H414,"Expired","Active")</f>
        <v>Expired</v>
      </c>
    </row>
    <row r="415" spans="1:11" x14ac:dyDescent="0.25">
      <c r="A415" t="s">
        <v>1757</v>
      </c>
      <c r="B415" t="s">
        <v>26</v>
      </c>
      <c r="C415" t="s">
        <v>44</v>
      </c>
      <c r="D415" t="s">
        <v>1758</v>
      </c>
      <c r="E415" t="s">
        <v>17</v>
      </c>
      <c r="F415" t="s">
        <v>1759</v>
      </c>
      <c r="G415" s="3">
        <v>45682</v>
      </c>
      <c r="H415" s="3">
        <v>46412</v>
      </c>
      <c r="I415" s="5">
        <v>652.83000000000004</v>
      </c>
      <c r="J415" t="s">
        <v>19</v>
      </c>
      <c r="K415" t="str">
        <f ca="1">IF(TODAY()&gt;H415,"Expired","Active")</f>
        <v>Active</v>
      </c>
    </row>
    <row r="416" spans="1:11" x14ac:dyDescent="0.25">
      <c r="A416" t="s">
        <v>1760</v>
      </c>
      <c r="B416" t="s">
        <v>26</v>
      </c>
      <c r="C416" t="s">
        <v>44</v>
      </c>
      <c r="D416" t="s">
        <v>1761</v>
      </c>
      <c r="E416" t="s">
        <v>34</v>
      </c>
      <c r="F416" t="s">
        <v>1762</v>
      </c>
      <c r="G416" s="3">
        <v>45243</v>
      </c>
      <c r="H416" s="3">
        <v>45974</v>
      </c>
      <c r="I416" s="5">
        <v>612.54</v>
      </c>
      <c r="J416" t="s">
        <v>19</v>
      </c>
      <c r="K416" t="str">
        <f ca="1">IF(TODAY()&gt;H416,"Expired","Active")</f>
        <v>Expired</v>
      </c>
    </row>
    <row r="417" spans="1:11" x14ac:dyDescent="0.25">
      <c r="A417" t="s">
        <v>1763</v>
      </c>
      <c r="B417" t="s">
        <v>24</v>
      </c>
      <c r="C417" t="s">
        <v>27</v>
      </c>
      <c r="D417" t="s">
        <v>1764</v>
      </c>
      <c r="E417" t="s">
        <v>32</v>
      </c>
      <c r="F417" t="s">
        <v>1765</v>
      </c>
      <c r="G417" s="3">
        <v>45321</v>
      </c>
      <c r="H417" s="3">
        <v>46052</v>
      </c>
      <c r="I417" s="5">
        <v>1013.62</v>
      </c>
      <c r="J417" t="s">
        <v>19</v>
      </c>
      <c r="K417" t="str">
        <f ca="1">IF(TODAY()&gt;H417,"Expired","Active")</f>
        <v>Expired</v>
      </c>
    </row>
    <row r="418" spans="1:11" x14ac:dyDescent="0.25">
      <c r="A418" t="s">
        <v>1766</v>
      </c>
      <c r="B418" t="s">
        <v>29</v>
      </c>
      <c r="C418" t="s">
        <v>60</v>
      </c>
      <c r="D418" t="s">
        <v>1767</v>
      </c>
      <c r="E418" t="s">
        <v>37</v>
      </c>
      <c r="F418" t="s">
        <v>1768</v>
      </c>
      <c r="G418" s="3">
        <v>45907</v>
      </c>
      <c r="H418" s="3">
        <v>46272</v>
      </c>
      <c r="I418" s="5">
        <v>7671.7</v>
      </c>
      <c r="J418" t="s">
        <v>23</v>
      </c>
      <c r="K418" t="str">
        <f ca="1">IF(TODAY()&gt;H418,"Expired","Active")</f>
        <v>Active</v>
      </c>
    </row>
    <row r="419" spans="1:11" x14ac:dyDescent="0.25">
      <c r="A419" t="s">
        <v>1769</v>
      </c>
      <c r="B419" t="s">
        <v>11</v>
      </c>
      <c r="C419" t="s">
        <v>43</v>
      </c>
      <c r="D419" t="s">
        <v>1770</v>
      </c>
      <c r="E419" t="s">
        <v>22</v>
      </c>
      <c r="F419" t="s">
        <v>1771</v>
      </c>
      <c r="G419" s="3">
        <v>45345</v>
      </c>
      <c r="H419" s="3">
        <v>46441</v>
      </c>
      <c r="I419" s="5">
        <v>3988.92</v>
      </c>
      <c r="J419" t="s">
        <v>14</v>
      </c>
      <c r="K419" t="str">
        <f ca="1">IF(TODAY()&gt;H419,"Expired","Active")</f>
        <v>Active</v>
      </c>
    </row>
    <row r="420" spans="1:11" x14ac:dyDescent="0.25">
      <c r="A420" t="s">
        <v>124</v>
      </c>
      <c r="B420" t="s">
        <v>29</v>
      </c>
      <c r="C420" t="s">
        <v>40</v>
      </c>
      <c r="D420" t="s">
        <v>1772</v>
      </c>
      <c r="E420" t="s">
        <v>32</v>
      </c>
      <c r="F420" t="s">
        <v>1773</v>
      </c>
      <c r="G420" s="3">
        <v>45743</v>
      </c>
      <c r="H420" s="3">
        <v>46839</v>
      </c>
      <c r="I420" s="5">
        <v>11450.95</v>
      </c>
      <c r="J420" t="s">
        <v>14</v>
      </c>
      <c r="K420" t="str">
        <f ca="1">IF(TODAY()&gt;H420,"Expired","Active")</f>
        <v>Active</v>
      </c>
    </row>
    <row r="421" spans="1:11" x14ac:dyDescent="0.25">
      <c r="A421" t="s">
        <v>1774</v>
      </c>
      <c r="B421" t="s">
        <v>24</v>
      </c>
      <c r="C421" t="s">
        <v>60</v>
      </c>
      <c r="D421" t="s">
        <v>1775</v>
      </c>
      <c r="E421" t="s">
        <v>39</v>
      </c>
      <c r="F421" t="s">
        <v>1776</v>
      </c>
      <c r="G421" s="3">
        <v>45588</v>
      </c>
      <c r="H421" s="3">
        <v>46318</v>
      </c>
      <c r="I421" s="5">
        <v>966.56</v>
      </c>
      <c r="J421" t="s">
        <v>23</v>
      </c>
      <c r="K421" t="str">
        <f ca="1">IF(TODAY()&gt;H421,"Expired","Active")</f>
        <v>Active</v>
      </c>
    </row>
    <row r="422" spans="1:11" x14ac:dyDescent="0.25">
      <c r="A422" t="s">
        <v>1777</v>
      </c>
      <c r="B422" t="s">
        <v>11</v>
      </c>
      <c r="C422" t="s">
        <v>56</v>
      </c>
      <c r="D422" t="s">
        <v>1778</v>
      </c>
      <c r="E422" t="s">
        <v>34</v>
      </c>
      <c r="F422" t="s">
        <v>1779</v>
      </c>
      <c r="G422" s="3">
        <v>45536</v>
      </c>
      <c r="H422" s="3">
        <v>45901</v>
      </c>
      <c r="I422" s="5">
        <v>4184.25</v>
      </c>
      <c r="J422" t="s">
        <v>23</v>
      </c>
      <c r="K422" t="str">
        <f ca="1">IF(TODAY()&gt;H422,"Expired","Active")</f>
        <v>Expired</v>
      </c>
    </row>
    <row r="423" spans="1:11" x14ac:dyDescent="0.25">
      <c r="A423" t="s">
        <v>639</v>
      </c>
      <c r="B423" t="s">
        <v>20</v>
      </c>
      <c r="C423" t="s">
        <v>44</v>
      </c>
      <c r="D423" t="s">
        <v>1780</v>
      </c>
      <c r="E423" t="s">
        <v>34</v>
      </c>
      <c r="F423" t="s">
        <v>1781</v>
      </c>
      <c r="G423" s="3">
        <v>45675</v>
      </c>
      <c r="H423" s="3">
        <v>46405</v>
      </c>
      <c r="I423" s="5">
        <v>1534.6</v>
      </c>
      <c r="J423" t="s">
        <v>14</v>
      </c>
      <c r="K423" t="str">
        <f ca="1">IF(TODAY()&gt;H423,"Expired","Active")</f>
        <v>Active</v>
      </c>
    </row>
    <row r="424" spans="1:11" x14ac:dyDescent="0.25">
      <c r="A424" t="s">
        <v>1782</v>
      </c>
      <c r="B424" t="s">
        <v>24</v>
      </c>
      <c r="C424" t="s">
        <v>50</v>
      </c>
      <c r="D424" t="s">
        <v>1783</v>
      </c>
      <c r="E424" t="s">
        <v>34</v>
      </c>
      <c r="F424" t="s">
        <v>640</v>
      </c>
      <c r="G424" s="3">
        <v>45927</v>
      </c>
      <c r="H424" s="3">
        <v>46292</v>
      </c>
      <c r="I424" s="5">
        <v>1598.72</v>
      </c>
      <c r="J424" t="s">
        <v>19</v>
      </c>
      <c r="K424" t="str">
        <f ca="1">IF(TODAY()&gt;H424,"Expired","Active")</f>
        <v>Active</v>
      </c>
    </row>
    <row r="425" spans="1:11" x14ac:dyDescent="0.25">
      <c r="A425" t="s">
        <v>1784</v>
      </c>
      <c r="B425" t="s">
        <v>29</v>
      </c>
      <c r="C425" t="s">
        <v>55</v>
      </c>
      <c r="D425" t="s">
        <v>1785</v>
      </c>
      <c r="E425" t="s">
        <v>32</v>
      </c>
      <c r="F425" t="s">
        <v>1786</v>
      </c>
      <c r="G425" s="3">
        <v>45974</v>
      </c>
      <c r="H425" s="3">
        <v>46339</v>
      </c>
      <c r="I425" s="5">
        <v>4027.3</v>
      </c>
      <c r="J425" t="s">
        <v>35</v>
      </c>
      <c r="K425" t="str">
        <f ca="1">IF(TODAY()&gt;H425,"Expired","Active")</f>
        <v>Active</v>
      </c>
    </row>
    <row r="426" spans="1:11" x14ac:dyDescent="0.25">
      <c r="A426" t="s">
        <v>1787</v>
      </c>
      <c r="B426" t="s">
        <v>15</v>
      </c>
      <c r="C426" t="s">
        <v>66</v>
      </c>
      <c r="D426" t="s">
        <v>1788</v>
      </c>
      <c r="E426" t="s">
        <v>34</v>
      </c>
      <c r="F426" t="s">
        <v>1789</v>
      </c>
      <c r="G426" s="3">
        <v>45989</v>
      </c>
      <c r="H426" s="3">
        <v>47085</v>
      </c>
      <c r="I426" s="5">
        <v>1190.44</v>
      </c>
      <c r="J426" t="s">
        <v>14</v>
      </c>
      <c r="K426" t="str">
        <f ca="1">IF(TODAY()&gt;H426,"Expired","Active")</f>
        <v>Active</v>
      </c>
    </row>
    <row r="427" spans="1:11" x14ac:dyDescent="0.25">
      <c r="A427" t="s">
        <v>1790</v>
      </c>
      <c r="B427" t="s">
        <v>15</v>
      </c>
      <c r="C427" t="s">
        <v>28</v>
      </c>
      <c r="D427" t="s">
        <v>1791</v>
      </c>
      <c r="E427" t="s">
        <v>37</v>
      </c>
      <c r="F427" t="s">
        <v>1792</v>
      </c>
      <c r="G427" s="3">
        <v>45951</v>
      </c>
      <c r="H427" s="3">
        <v>46316</v>
      </c>
      <c r="I427" s="5">
        <v>617.44000000000005</v>
      </c>
      <c r="J427" t="s">
        <v>35</v>
      </c>
      <c r="K427" t="str">
        <f ca="1">IF(TODAY()&gt;H427,"Expired","Active")</f>
        <v>Active</v>
      </c>
    </row>
    <row r="428" spans="1:11" x14ac:dyDescent="0.25">
      <c r="A428" t="s">
        <v>1793</v>
      </c>
      <c r="B428" t="s">
        <v>29</v>
      </c>
      <c r="C428" t="s">
        <v>53</v>
      </c>
      <c r="D428" t="s">
        <v>1794</v>
      </c>
      <c r="E428" t="s">
        <v>34</v>
      </c>
      <c r="F428" t="s">
        <v>1795</v>
      </c>
      <c r="G428" s="3">
        <v>45607</v>
      </c>
      <c r="H428" s="3">
        <v>46702</v>
      </c>
      <c r="I428" s="5">
        <v>9080.24</v>
      </c>
      <c r="J428" t="s">
        <v>35</v>
      </c>
      <c r="K428" t="str">
        <f ca="1">IF(TODAY()&gt;H428,"Expired","Active")</f>
        <v>Active</v>
      </c>
    </row>
    <row r="429" spans="1:11" x14ac:dyDescent="0.25">
      <c r="A429" t="s">
        <v>1796</v>
      </c>
      <c r="B429" t="s">
        <v>24</v>
      </c>
      <c r="C429" t="s">
        <v>66</v>
      </c>
      <c r="D429" t="s">
        <v>1797</v>
      </c>
      <c r="E429" t="s">
        <v>22</v>
      </c>
      <c r="F429" t="s">
        <v>1798</v>
      </c>
      <c r="G429" s="3">
        <v>45250</v>
      </c>
      <c r="H429" s="3">
        <v>45616</v>
      </c>
      <c r="I429" s="5">
        <v>1625.51</v>
      </c>
      <c r="J429" t="s">
        <v>35</v>
      </c>
      <c r="K429" t="str">
        <f ca="1">IF(TODAY()&gt;H429,"Expired","Active")</f>
        <v>Expired</v>
      </c>
    </row>
    <row r="430" spans="1:11" x14ac:dyDescent="0.25">
      <c r="A430" t="s">
        <v>1799</v>
      </c>
      <c r="B430" t="s">
        <v>20</v>
      </c>
      <c r="C430" t="s">
        <v>28</v>
      </c>
      <c r="D430" t="s">
        <v>1800</v>
      </c>
      <c r="E430" t="s">
        <v>34</v>
      </c>
      <c r="F430" t="s">
        <v>1801</v>
      </c>
      <c r="G430" s="3">
        <v>45581</v>
      </c>
      <c r="H430" s="3">
        <v>45946</v>
      </c>
      <c r="I430" s="5">
        <v>995.77</v>
      </c>
      <c r="J430" t="s">
        <v>35</v>
      </c>
      <c r="K430" t="str">
        <f ca="1">IF(TODAY()&gt;H430,"Expired","Active")</f>
        <v>Expired</v>
      </c>
    </row>
    <row r="431" spans="1:11" x14ac:dyDescent="0.25">
      <c r="A431" t="s">
        <v>1802</v>
      </c>
      <c r="B431" t="s">
        <v>24</v>
      </c>
      <c r="C431" t="s">
        <v>52</v>
      </c>
      <c r="D431" t="s">
        <v>1803</v>
      </c>
      <c r="E431" t="s">
        <v>17</v>
      </c>
      <c r="F431" t="s">
        <v>125</v>
      </c>
      <c r="G431" s="3">
        <v>45937</v>
      </c>
      <c r="H431" s="3">
        <v>47033</v>
      </c>
      <c r="I431" s="5">
        <v>1944.06</v>
      </c>
      <c r="J431" t="s">
        <v>19</v>
      </c>
      <c r="K431" t="str">
        <f ca="1">IF(TODAY()&gt;H431,"Expired","Active")</f>
        <v>Active</v>
      </c>
    </row>
    <row r="432" spans="1:11" x14ac:dyDescent="0.25">
      <c r="A432" t="s">
        <v>1804</v>
      </c>
      <c r="B432" t="s">
        <v>15</v>
      </c>
      <c r="C432" t="s">
        <v>47</v>
      </c>
      <c r="D432" t="s">
        <v>1805</v>
      </c>
      <c r="E432" t="s">
        <v>39</v>
      </c>
      <c r="F432" t="s">
        <v>641</v>
      </c>
      <c r="G432" s="3">
        <v>45717</v>
      </c>
      <c r="H432" s="3">
        <v>46082</v>
      </c>
      <c r="I432" s="5">
        <v>839.16</v>
      </c>
      <c r="J432" t="s">
        <v>23</v>
      </c>
      <c r="K432" t="str">
        <f ca="1">IF(TODAY()&gt;H432,"Expired","Active")</f>
        <v>Expired</v>
      </c>
    </row>
    <row r="433" spans="1:11" x14ac:dyDescent="0.25">
      <c r="A433" t="s">
        <v>1806</v>
      </c>
      <c r="B433" t="s">
        <v>26</v>
      </c>
      <c r="C433" t="s">
        <v>53</v>
      </c>
      <c r="D433" t="s">
        <v>1807</v>
      </c>
      <c r="E433" t="s">
        <v>39</v>
      </c>
      <c r="F433" t="s">
        <v>1808</v>
      </c>
      <c r="G433" s="3">
        <v>45363</v>
      </c>
      <c r="H433" s="3">
        <v>45728</v>
      </c>
      <c r="I433" s="5">
        <v>972.67</v>
      </c>
      <c r="J433" t="s">
        <v>14</v>
      </c>
      <c r="K433" t="str">
        <f ca="1">IF(TODAY()&gt;H433,"Expired","Active")</f>
        <v>Expired</v>
      </c>
    </row>
    <row r="434" spans="1:11" x14ac:dyDescent="0.25">
      <c r="A434" t="s">
        <v>1809</v>
      </c>
      <c r="B434" t="s">
        <v>15</v>
      </c>
      <c r="C434" t="s">
        <v>46</v>
      </c>
      <c r="D434" t="s">
        <v>1810</v>
      </c>
      <c r="E434" t="s">
        <v>37</v>
      </c>
      <c r="F434" t="s">
        <v>126</v>
      </c>
      <c r="G434" s="3">
        <v>45240</v>
      </c>
      <c r="H434" s="3">
        <v>46336</v>
      </c>
      <c r="I434" s="5">
        <v>754.73</v>
      </c>
      <c r="J434" t="s">
        <v>23</v>
      </c>
      <c r="K434" t="str">
        <f ca="1">IF(TODAY()&gt;H434,"Expired","Active")</f>
        <v>Active</v>
      </c>
    </row>
    <row r="435" spans="1:11" x14ac:dyDescent="0.25">
      <c r="A435" t="s">
        <v>1811</v>
      </c>
      <c r="B435" t="s">
        <v>29</v>
      </c>
      <c r="C435" t="s">
        <v>25</v>
      </c>
      <c r="D435" t="s">
        <v>1812</v>
      </c>
      <c r="E435" t="s">
        <v>22</v>
      </c>
      <c r="F435" t="s">
        <v>1813</v>
      </c>
      <c r="G435" s="3">
        <v>45997</v>
      </c>
      <c r="H435" s="3">
        <v>47093</v>
      </c>
      <c r="I435" s="5">
        <v>5783.29</v>
      </c>
      <c r="J435" t="s">
        <v>19</v>
      </c>
      <c r="K435" t="str">
        <f ca="1">IF(TODAY()&gt;H435,"Expired","Active")</f>
        <v>Active</v>
      </c>
    </row>
    <row r="436" spans="1:11" x14ac:dyDescent="0.25">
      <c r="A436" t="s">
        <v>127</v>
      </c>
      <c r="B436" t="s">
        <v>24</v>
      </c>
      <c r="C436" t="s">
        <v>21</v>
      </c>
      <c r="D436" t="s">
        <v>1814</v>
      </c>
      <c r="E436" t="s">
        <v>22</v>
      </c>
      <c r="F436" t="s">
        <v>1815</v>
      </c>
      <c r="G436" s="3">
        <v>45213</v>
      </c>
      <c r="H436" s="3">
        <v>46309</v>
      </c>
      <c r="I436" s="5">
        <v>1916.16</v>
      </c>
      <c r="J436" t="s">
        <v>14</v>
      </c>
      <c r="K436" t="str">
        <f ca="1">IF(TODAY()&gt;H436,"Expired","Active")</f>
        <v>Active</v>
      </c>
    </row>
    <row r="437" spans="1:11" x14ac:dyDescent="0.25">
      <c r="A437" t="s">
        <v>1816</v>
      </c>
      <c r="B437" t="s">
        <v>26</v>
      </c>
      <c r="C437" t="s">
        <v>53</v>
      </c>
      <c r="D437" t="s">
        <v>1817</v>
      </c>
      <c r="E437" t="s">
        <v>37</v>
      </c>
      <c r="F437" t="s">
        <v>1818</v>
      </c>
      <c r="G437" s="3">
        <v>45947</v>
      </c>
      <c r="H437" s="3">
        <v>47043</v>
      </c>
      <c r="I437" s="5">
        <v>906.05</v>
      </c>
      <c r="J437" t="s">
        <v>35</v>
      </c>
      <c r="K437" t="str">
        <f ca="1">IF(TODAY()&gt;H437,"Expired","Active")</f>
        <v>Active</v>
      </c>
    </row>
    <row r="438" spans="1:11" x14ac:dyDescent="0.25">
      <c r="A438" t="s">
        <v>1819</v>
      </c>
      <c r="B438" t="s">
        <v>24</v>
      </c>
      <c r="C438" t="s">
        <v>62</v>
      </c>
      <c r="D438" t="s">
        <v>1820</v>
      </c>
      <c r="E438" t="s">
        <v>17</v>
      </c>
      <c r="F438" t="s">
        <v>1821</v>
      </c>
      <c r="G438" s="3">
        <v>45828</v>
      </c>
      <c r="H438" s="3">
        <v>46558</v>
      </c>
      <c r="I438" s="5">
        <v>1857.68</v>
      </c>
      <c r="J438" t="s">
        <v>14</v>
      </c>
      <c r="K438" t="str">
        <f ca="1">IF(TODAY()&gt;H438,"Expired","Active")</f>
        <v>Active</v>
      </c>
    </row>
    <row r="439" spans="1:11" x14ac:dyDescent="0.25">
      <c r="A439" t="s">
        <v>1822</v>
      </c>
      <c r="B439" t="s">
        <v>29</v>
      </c>
      <c r="C439" t="s">
        <v>55</v>
      </c>
      <c r="D439" t="s">
        <v>1823</v>
      </c>
      <c r="E439" t="s">
        <v>17</v>
      </c>
      <c r="F439" t="s">
        <v>642</v>
      </c>
      <c r="G439" s="3">
        <v>45848</v>
      </c>
      <c r="H439" s="3">
        <v>46944</v>
      </c>
      <c r="I439" s="5">
        <v>5209.93</v>
      </c>
      <c r="J439" t="s">
        <v>35</v>
      </c>
      <c r="K439" t="str">
        <f ca="1">IF(TODAY()&gt;H439,"Expired","Active")</f>
        <v>Active</v>
      </c>
    </row>
    <row r="440" spans="1:11" x14ac:dyDescent="0.25">
      <c r="A440" t="s">
        <v>1824</v>
      </c>
      <c r="B440" t="s">
        <v>20</v>
      </c>
      <c r="C440" t="s">
        <v>25</v>
      </c>
      <c r="D440" t="s">
        <v>1825</v>
      </c>
      <c r="E440" t="s">
        <v>32</v>
      </c>
      <c r="F440" t="s">
        <v>1826</v>
      </c>
      <c r="G440" s="3">
        <v>45366</v>
      </c>
      <c r="H440" s="3">
        <v>46096</v>
      </c>
      <c r="I440" s="5">
        <v>1406.54</v>
      </c>
      <c r="J440" t="s">
        <v>23</v>
      </c>
      <c r="K440" t="str">
        <f ca="1">IF(TODAY()&gt;H440,"Expired","Active")</f>
        <v>Expired</v>
      </c>
    </row>
    <row r="441" spans="1:11" x14ac:dyDescent="0.25">
      <c r="A441" t="s">
        <v>1827</v>
      </c>
      <c r="B441" t="s">
        <v>26</v>
      </c>
      <c r="C441" t="s">
        <v>53</v>
      </c>
      <c r="D441" t="s">
        <v>1828</v>
      </c>
      <c r="E441" t="s">
        <v>22</v>
      </c>
      <c r="F441" t="s">
        <v>1829</v>
      </c>
      <c r="G441" s="3">
        <v>45122</v>
      </c>
      <c r="H441" s="3">
        <v>45853</v>
      </c>
      <c r="I441" s="5">
        <v>851.01</v>
      </c>
      <c r="J441" t="s">
        <v>19</v>
      </c>
      <c r="K441" t="str">
        <f ca="1">IF(TODAY()&gt;H441,"Expired","Active")</f>
        <v>Expired</v>
      </c>
    </row>
    <row r="442" spans="1:11" x14ac:dyDescent="0.25">
      <c r="A442" t="s">
        <v>1830</v>
      </c>
      <c r="B442" t="s">
        <v>11</v>
      </c>
      <c r="C442" t="s">
        <v>46</v>
      </c>
      <c r="D442" t="s">
        <v>1831</v>
      </c>
      <c r="E442" t="s">
        <v>17</v>
      </c>
      <c r="F442" t="s">
        <v>1832</v>
      </c>
      <c r="G442" s="3">
        <v>45176</v>
      </c>
      <c r="H442" s="3">
        <v>46272</v>
      </c>
      <c r="I442" s="5">
        <v>4145.33</v>
      </c>
      <c r="J442" t="s">
        <v>19</v>
      </c>
      <c r="K442" t="str">
        <f ca="1">IF(TODAY()&gt;H442,"Expired","Active")</f>
        <v>Active</v>
      </c>
    </row>
    <row r="443" spans="1:11" x14ac:dyDescent="0.25">
      <c r="A443" t="s">
        <v>1833</v>
      </c>
      <c r="B443" t="s">
        <v>11</v>
      </c>
      <c r="C443" t="s">
        <v>72</v>
      </c>
      <c r="D443" t="s">
        <v>1834</v>
      </c>
      <c r="E443" t="s">
        <v>17</v>
      </c>
      <c r="F443" t="s">
        <v>643</v>
      </c>
      <c r="G443" s="3">
        <v>45229</v>
      </c>
      <c r="H443" s="3">
        <v>45595</v>
      </c>
      <c r="I443" s="5">
        <v>4586.21</v>
      </c>
      <c r="J443" t="s">
        <v>19</v>
      </c>
      <c r="K443" t="str">
        <f ca="1">IF(TODAY()&gt;H443,"Expired","Active")</f>
        <v>Expired</v>
      </c>
    </row>
    <row r="444" spans="1:11" x14ac:dyDescent="0.25">
      <c r="A444" t="s">
        <v>128</v>
      </c>
      <c r="B444" t="s">
        <v>26</v>
      </c>
      <c r="C444" t="s">
        <v>43</v>
      </c>
      <c r="D444" t="s">
        <v>1835</v>
      </c>
      <c r="E444" t="s">
        <v>37</v>
      </c>
      <c r="F444" t="s">
        <v>1836</v>
      </c>
      <c r="G444" s="3">
        <v>45028</v>
      </c>
      <c r="H444" s="3">
        <v>46124</v>
      </c>
      <c r="I444" s="5">
        <v>1107.8900000000001</v>
      </c>
      <c r="J444" t="s">
        <v>35</v>
      </c>
      <c r="K444" t="str">
        <f ca="1">IF(TODAY()&gt;H444,"Expired","Active")</f>
        <v>Expired</v>
      </c>
    </row>
    <row r="445" spans="1:11" x14ac:dyDescent="0.25">
      <c r="A445" t="s">
        <v>1837</v>
      </c>
      <c r="B445" t="s">
        <v>11</v>
      </c>
      <c r="C445" t="s">
        <v>52</v>
      </c>
      <c r="D445" t="s">
        <v>1838</v>
      </c>
      <c r="E445" t="s">
        <v>13</v>
      </c>
      <c r="F445" t="s">
        <v>1839</v>
      </c>
      <c r="G445" s="3">
        <v>45506</v>
      </c>
      <c r="H445" s="3">
        <v>45871</v>
      </c>
      <c r="I445" s="5">
        <v>4345.13</v>
      </c>
      <c r="J445" t="s">
        <v>19</v>
      </c>
      <c r="K445" t="str">
        <f ca="1">IF(TODAY()&gt;H445,"Expired","Active")</f>
        <v>Expired</v>
      </c>
    </row>
    <row r="446" spans="1:11" x14ac:dyDescent="0.25">
      <c r="A446" t="s">
        <v>1840</v>
      </c>
      <c r="B446" t="s">
        <v>15</v>
      </c>
      <c r="C446" t="s">
        <v>58</v>
      </c>
      <c r="D446" t="s">
        <v>1841</v>
      </c>
      <c r="E446" t="s">
        <v>13</v>
      </c>
      <c r="F446" t="s">
        <v>1842</v>
      </c>
      <c r="G446" s="3">
        <v>45800</v>
      </c>
      <c r="H446" s="3">
        <v>46896</v>
      </c>
      <c r="I446" s="5">
        <v>812.74</v>
      </c>
      <c r="J446" t="s">
        <v>35</v>
      </c>
      <c r="K446" t="str">
        <f ca="1">IF(TODAY()&gt;H446,"Expired","Active")</f>
        <v>Active</v>
      </c>
    </row>
    <row r="447" spans="1:11" x14ac:dyDescent="0.25">
      <c r="A447" t="s">
        <v>1843</v>
      </c>
      <c r="B447" t="s">
        <v>24</v>
      </c>
      <c r="C447" t="s">
        <v>42</v>
      </c>
      <c r="D447" t="s">
        <v>1844</v>
      </c>
      <c r="E447" t="s">
        <v>32</v>
      </c>
      <c r="F447" t="s">
        <v>129</v>
      </c>
      <c r="G447" s="3">
        <v>45386</v>
      </c>
      <c r="H447" s="3">
        <v>45751</v>
      </c>
      <c r="I447" s="5">
        <v>1488.1</v>
      </c>
      <c r="J447" t="s">
        <v>14</v>
      </c>
      <c r="K447" t="str">
        <f ca="1">IF(TODAY()&gt;H447,"Expired","Active")</f>
        <v>Expired</v>
      </c>
    </row>
    <row r="448" spans="1:11" x14ac:dyDescent="0.25">
      <c r="A448" t="s">
        <v>1845</v>
      </c>
      <c r="B448" t="s">
        <v>11</v>
      </c>
      <c r="C448" t="s">
        <v>60</v>
      </c>
      <c r="D448" t="s">
        <v>1846</v>
      </c>
      <c r="E448" t="s">
        <v>39</v>
      </c>
      <c r="F448" t="s">
        <v>130</v>
      </c>
      <c r="G448" s="3">
        <v>45470</v>
      </c>
      <c r="H448" s="3">
        <v>46565</v>
      </c>
      <c r="I448" s="5">
        <v>5175.8599999999997</v>
      </c>
      <c r="J448" t="s">
        <v>14</v>
      </c>
      <c r="K448" t="str">
        <f ca="1">IF(TODAY()&gt;H448,"Expired","Active")</f>
        <v>Active</v>
      </c>
    </row>
    <row r="449" spans="1:11" x14ac:dyDescent="0.25">
      <c r="A449" t="s">
        <v>1847</v>
      </c>
      <c r="B449" t="s">
        <v>29</v>
      </c>
      <c r="C449" t="s">
        <v>30</v>
      </c>
      <c r="D449" t="s">
        <v>1848</v>
      </c>
      <c r="E449" t="s">
        <v>34</v>
      </c>
      <c r="F449" t="s">
        <v>644</v>
      </c>
      <c r="G449" s="3">
        <v>45704</v>
      </c>
      <c r="H449" s="3">
        <v>46069</v>
      </c>
      <c r="I449" s="5">
        <v>9383.39</v>
      </c>
      <c r="J449" t="s">
        <v>19</v>
      </c>
      <c r="K449" t="str">
        <f ca="1">IF(TODAY()&gt;H449,"Expired","Active")</f>
        <v>Expired</v>
      </c>
    </row>
    <row r="450" spans="1:11" x14ac:dyDescent="0.25">
      <c r="A450" t="s">
        <v>1849</v>
      </c>
      <c r="B450" t="s">
        <v>26</v>
      </c>
      <c r="C450" t="s">
        <v>52</v>
      </c>
      <c r="D450" t="s">
        <v>1850</v>
      </c>
      <c r="E450" t="s">
        <v>39</v>
      </c>
      <c r="F450" t="s">
        <v>1851</v>
      </c>
      <c r="G450" s="3">
        <v>45925</v>
      </c>
      <c r="H450" s="3">
        <v>47021</v>
      </c>
      <c r="I450" s="5">
        <v>1126.28</v>
      </c>
      <c r="J450" t="s">
        <v>14</v>
      </c>
      <c r="K450" t="str">
        <f ca="1">IF(TODAY()&gt;H450,"Expired","Active")</f>
        <v>Active</v>
      </c>
    </row>
    <row r="451" spans="1:11" x14ac:dyDescent="0.25">
      <c r="A451" t="s">
        <v>1852</v>
      </c>
      <c r="B451" t="s">
        <v>24</v>
      </c>
      <c r="C451" t="s">
        <v>42</v>
      </c>
      <c r="D451" t="s">
        <v>1853</v>
      </c>
      <c r="E451" t="s">
        <v>17</v>
      </c>
      <c r="F451" t="s">
        <v>1854</v>
      </c>
      <c r="G451" s="3">
        <v>45909</v>
      </c>
      <c r="H451" s="3">
        <v>46274</v>
      </c>
      <c r="I451" s="5">
        <v>1248.83</v>
      </c>
      <c r="J451" t="s">
        <v>23</v>
      </c>
      <c r="K451" t="str">
        <f ca="1">IF(TODAY()&gt;H451,"Expired","Active")</f>
        <v>Active</v>
      </c>
    </row>
    <row r="452" spans="1:11" x14ac:dyDescent="0.25">
      <c r="A452" t="s">
        <v>1855</v>
      </c>
      <c r="B452" t="s">
        <v>20</v>
      </c>
      <c r="C452" t="s">
        <v>16</v>
      </c>
      <c r="D452" t="s">
        <v>1856</v>
      </c>
      <c r="E452" t="s">
        <v>13</v>
      </c>
      <c r="F452" t="s">
        <v>1857</v>
      </c>
      <c r="G452" s="3">
        <v>45094</v>
      </c>
      <c r="H452" s="3">
        <v>45460</v>
      </c>
      <c r="I452" s="5">
        <v>940.35</v>
      </c>
      <c r="J452" t="s">
        <v>19</v>
      </c>
      <c r="K452" t="str">
        <f ca="1">IF(TODAY()&gt;H452,"Expired","Active")</f>
        <v>Expired</v>
      </c>
    </row>
    <row r="453" spans="1:11" x14ac:dyDescent="0.25">
      <c r="A453" t="s">
        <v>1858</v>
      </c>
      <c r="B453" t="s">
        <v>15</v>
      </c>
      <c r="C453" t="s">
        <v>66</v>
      </c>
      <c r="D453" t="s">
        <v>1859</v>
      </c>
      <c r="E453" t="s">
        <v>17</v>
      </c>
      <c r="F453" t="s">
        <v>1860</v>
      </c>
      <c r="G453" s="3">
        <v>45774</v>
      </c>
      <c r="H453" s="3">
        <v>46504</v>
      </c>
      <c r="I453" s="5">
        <v>705.33</v>
      </c>
      <c r="J453" t="s">
        <v>14</v>
      </c>
      <c r="K453" t="str">
        <f ca="1">IF(TODAY()&gt;H453,"Expired","Active")</f>
        <v>Active</v>
      </c>
    </row>
    <row r="454" spans="1:11" x14ac:dyDescent="0.25">
      <c r="A454" t="s">
        <v>1861</v>
      </c>
      <c r="B454" t="s">
        <v>29</v>
      </c>
      <c r="C454" t="s">
        <v>36</v>
      </c>
      <c r="D454" t="s">
        <v>1862</v>
      </c>
      <c r="E454" t="s">
        <v>32</v>
      </c>
      <c r="F454" t="s">
        <v>645</v>
      </c>
      <c r="G454" s="3">
        <v>45551</v>
      </c>
      <c r="H454" s="3">
        <v>45916</v>
      </c>
      <c r="I454" s="5">
        <v>8553.34</v>
      </c>
      <c r="J454" t="s">
        <v>23</v>
      </c>
      <c r="K454" t="str">
        <f ca="1">IF(TODAY()&gt;H454,"Expired","Active")</f>
        <v>Expired</v>
      </c>
    </row>
    <row r="455" spans="1:11" x14ac:dyDescent="0.25">
      <c r="A455" t="s">
        <v>131</v>
      </c>
      <c r="B455" t="s">
        <v>20</v>
      </c>
      <c r="C455" t="s">
        <v>47</v>
      </c>
      <c r="D455" t="s">
        <v>1863</v>
      </c>
      <c r="E455" t="s">
        <v>17</v>
      </c>
      <c r="F455" t="s">
        <v>1864</v>
      </c>
      <c r="G455" s="3">
        <v>45675</v>
      </c>
      <c r="H455" s="3">
        <v>46405</v>
      </c>
      <c r="I455" s="5">
        <v>1748.86</v>
      </c>
      <c r="J455" t="s">
        <v>35</v>
      </c>
      <c r="K455" t="str">
        <f ca="1">IF(TODAY()&gt;H455,"Expired","Active")</f>
        <v>Active</v>
      </c>
    </row>
    <row r="456" spans="1:11" x14ac:dyDescent="0.25">
      <c r="A456" t="s">
        <v>1865</v>
      </c>
      <c r="B456" t="s">
        <v>24</v>
      </c>
      <c r="C456" t="s">
        <v>49</v>
      </c>
      <c r="D456" t="s">
        <v>1866</v>
      </c>
      <c r="E456" t="s">
        <v>22</v>
      </c>
      <c r="F456" t="s">
        <v>1867</v>
      </c>
      <c r="G456" s="3">
        <v>45922</v>
      </c>
      <c r="H456" s="3">
        <v>47018</v>
      </c>
      <c r="I456" s="5">
        <v>1764.62</v>
      </c>
      <c r="J456" t="s">
        <v>19</v>
      </c>
      <c r="K456" t="str">
        <f ca="1">IF(TODAY()&gt;H456,"Expired","Active")</f>
        <v>Active</v>
      </c>
    </row>
    <row r="457" spans="1:11" x14ac:dyDescent="0.25">
      <c r="A457" t="s">
        <v>1868</v>
      </c>
      <c r="B457" t="s">
        <v>26</v>
      </c>
      <c r="C457" t="s">
        <v>44</v>
      </c>
      <c r="D457" t="s">
        <v>1869</v>
      </c>
      <c r="E457" t="s">
        <v>34</v>
      </c>
      <c r="F457" t="s">
        <v>1870</v>
      </c>
      <c r="G457" s="3">
        <v>45833</v>
      </c>
      <c r="H457" s="3">
        <v>46198</v>
      </c>
      <c r="I457" s="5">
        <v>631.99</v>
      </c>
      <c r="J457" t="s">
        <v>35</v>
      </c>
      <c r="K457" t="str">
        <f ca="1">IF(TODAY()&gt;H457,"Expired","Active")</f>
        <v>Active</v>
      </c>
    </row>
    <row r="458" spans="1:11" x14ac:dyDescent="0.25">
      <c r="A458" t="s">
        <v>1871</v>
      </c>
      <c r="B458" t="s">
        <v>24</v>
      </c>
      <c r="C458" t="s">
        <v>46</v>
      </c>
      <c r="D458" t="s">
        <v>1872</v>
      </c>
      <c r="E458" t="s">
        <v>37</v>
      </c>
      <c r="F458" t="s">
        <v>132</v>
      </c>
      <c r="G458" s="3">
        <v>45686</v>
      </c>
      <c r="H458" s="3">
        <v>46051</v>
      </c>
      <c r="I458" s="5">
        <v>1532.46</v>
      </c>
      <c r="J458" t="s">
        <v>19</v>
      </c>
      <c r="K458" t="str">
        <f ca="1">IF(TODAY()&gt;H458,"Expired","Active")</f>
        <v>Expired</v>
      </c>
    </row>
    <row r="459" spans="1:11" x14ac:dyDescent="0.25">
      <c r="A459" t="s">
        <v>1873</v>
      </c>
      <c r="B459" t="s">
        <v>15</v>
      </c>
      <c r="C459" t="s">
        <v>12</v>
      </c>
      <c r="D459" t="s">
        <v>1874</v>
      </c>
      <c r="E459" t="s">
        <v>22</v>
      </c>
      <c r="F459" t="s">
        <v>1875</v>
      </c>
      <c r="G459" s="3">
        <v>45698</v>
      </c>
      <c r="H459" s="3">
        <v>46428</v>
      </c>
      <c r="I459" s="5">
        <v>472.5</v>
      </c>
      <c r="J459" t="s">
        <v>19</v>
      </c>
      <c r="K459" t="str">
        <f ca="1">IF(TODAY()&gt;H459,"Expired","Active")</f>
        <v>Active</v>
      </c>
    </row>
    <row r="460" spans="1:11" x14ac:dyDescent="0.25">
      <c r="A460" t="s">
        <v>1876</v>
      </c>
      <c r="B460" t="s">
        <v>29</v>
      </c>
      <c r="C460" t="s">
        <v>30</v>
      </c>
      <c r="D460" t="s">
        <v>1877</v>
      </c>
      <c r="E460" t="s">
        <v>39</v>
      </c>
      <c r="F460" t="s">
        <v>1878</v>
      </c>
      <c r="G460" s="3">
        <v>45568</v>
      </c>
      <c r="H460" s="3">
        <v>46663</v>
      </c>
      <c r="I460" s="5">
        <v>6920.89</v>
      </c>
      <c r="J460" t="s">
        <v>35</v>
      </c>
      <c r="K460" t="str">
        <f ca="1">IF(TODAY()&gt;H460,"Expired","Active")</f>
        <v>Active</v>
      </c>
    </row>
    <row r="461" spans="1:11" x14ac:dyDescent="0.25">
      <c r="A461" t="s">
        <v>1879</v>
      </c>
      <c r="B461" t="s">
        <v>26</v>
      </c>
      <c r="C461" t="s">
        <v>72</v>
      </c>
      <c r="D461" t="s">
        <v>1880</v>
      </c>
      <c r="E461" t="s">
        <v>39</v>
      </c>
      <c r="F461" t="s">
        <v>1881</v>
      </c>
      <c r="G461" s="3">
        <v>45501</v>
      </c>
      <c r="H461" s="3">
        <v>45866</v>
      </c>
      <c r="I461" s="5">
        <v>910.8</v>
      </c>
      <c r="J461" t="s">
        <v>23</v>
      </c>
      <c r="K461" t="str">
        <f ca="1">IF(TODAY()&gt;H461,"Expired","Active")</f>
        <v>Expired</v>
      </c>
    </row>
    <row r="462" spans="1:11" x14ac:dyDescent="0.25">
      <c r="A462" t="s">
        <v>1882</v>
      </c>
      <c r="B462" t="s">
        <v>11</v>
      </c>
      <c r="C462" t="s">
        <v>33</v>
      </c>
      <c r="D462" t="s">
        <v>1883</v>
      </c>
      <c r="E462" t="s">
        <v>22</v>
      </c>
      <c r="F462" t="s">
        <v>1884</v>
      </c>
      <c r="G462" s="3">
        <v>45115</v>
      </c>
      <c r="H462" s="3">
        <v>45846</v>
      </c>
      <c r="I462" s="5">
        <v>6670.97</v>
      </c>
      <c r="J462" t="s">
        <v>14</v>
      </c>
      <c r="K462" t="str">
        <f ca="1">IF(TODAY()&gt;H462,"Expired","Active")</f>
        <v>Expired</v>
      </c>
    </row>
    <row r="463" spans="1:11" x14ac:dyDescent="0.25">
      <c r="A463" t="s">
        <v>1885</v>
      </c>
      <c r="B463" t="s">
        <v>24</v>
      </c>
      <c r="C463" t="s">
        <v>58</v>
      </c>
      <c r="D463" t="s">
        <v>1886</v>
      </c>
      <c r="E463" t="s">
        <v>22</v>
      </c>
      <c r="F463" t="s">
        <v>1887</v>
      </c>
      <c r="G463" s="3">
        <v>45153</v>
      </c>
      <c r="H463" s="3">
        <v>46249</v>
      </c>
      <c r="I463" s="5">
        <v>1642.47</v>
      </c>
      <c r="J463" t="s">
        <v>23</v>
      </c>
      <c r="K463" t="str">
        <f ca="1">IF(TODAY()&gt;H463,"Expired","Active")</f>
        <v>Active</v>
      </c>
    </row>
    <row r="464" spans="1:11" x14ac:dyDescent="0.25">
      <c r="A464" t="s">
        <v>133</v>
      </c>
      <c r="B464" t="s">
        <v>11</v>
      </c>
      <c r="C464" t="s">
        <v>41</v>
      </c>
      <c r="D464" t="s">
        <v>1888</v>
      </c>
      <c r="E464" t="s">
        <v>13</v>
      </c>
      <c r="F464" t="s">
        <v>1889</v>
      </c>
      <c r="G464" s="3">
        <v>45368</v>
      </c>
      <c r="H464" s="3">
        <v>46463</v>
      </c>
      <c r="I464" s="5">
        <v>2714.18</v>
      </c>
      <c r="J464" t="s">
        <v>19</v>
      </c>
      <c r="K464" t="str">
        <f ca="1">IF(TODAY()&gt;H464,"Expired","Active")</f>
        <v>Active</v>
      </c>
    </row>
    <row r="465" spans="1:11" x14ac:dyDescent="0.25">
      <c r="A465" t="s">
        <v>1890</v>
      </c>
      <c r="B465" t="s">
        <v>15</v>
      </c>
      <c r="C465" t="s">
        <v>28</v>
      </c>
      <c r="D465" t="s">
        <v>1891</v>
      </c>
      <c r="E465" t="s">
        <v>34</v>
      </c>
      <c r="F465" t="s">
        <v>1892</v>
      </c>
      <c r="G465" s="3">
        <v>45244</v>
      </c>
      <c r="H465" s="3">
        <v>46340</v>
      </c>
      <c r="I465" s="5">
        <v>844.87</v>
      </c>
      <c r="J465" t="s">
        <v>23</v>
      </c>
      <c r="K465" t="str">
        <f ca="1">IF(TODAY()&gt;H465,"Expired","Active")</f>
        <v>Active</v>
      </c>
    </row>
    <row r="466" spans="1:11" x14ac:dyDescent="0.25">
      <c r="A466" t="s">
        <v>1893</v>
      </c>
      <c r="B466" t="s">
        <v>15</v>
      </c>
      <c r="C466" t="s">
        <v>72</v>
      </c>
      <c r="D466" t="s">
        <v>1894</v>
      </c>
      <c r="E466" t="s">
        <v>34</v>
      </c>
      <c r="F466" t="s">
        <v>1895</v>
      </c>
      <c r="G466" s="3">
        <v>45648</v>
      </c>
      <c r="H466" s="3">
        <v>46378</v>
      </c>
      <c r="I466" s="5">
        <v>1073.74</v>
      </c>
      <c r="J466" t="s">
        <v>23</v>
      </c>
      <c r="K466" t="str">
        <f ca="1">IF(TODAY()&gt;H466,"Expired","Active")</f>
        <v>Active</v>
      </c>
    </row>
    <row r="467" spans="1:11" x14ac:dyDescent="0.25">
      <c r="A467" t="s">
        <v>1896</v>
      </c>
      <c r="B467" t="s">
        <v>24</v>
      </c>
      <c r="C467" t="s">
        <v>58</v>
      </c>
      <c r="D467" t="s">
        <v>1897</v>
      </c>
      <c r="E467" t="s">
        <v>17</v>
      </c>
      <c r="F467" t="s">
        <v>1898</v>
      </c>
      <c r="G467" s="3">
        <v>45865</v>
      </c>
      <c r="H467" s="3">
        <v>46595</v>
      </c>
      <c r="I467" s="5">
        <v>1076.05</v>
      </c>
      <c r="J467" t="s">
        <v>35</v>
      </c>
      <c r="K467" t="str">
        <f ca="1">IF(TODAY()&gt;H467,"Expired","Active")</f>
        <v>Active</v>
      </c>
    </row>
    <row r="468" spans="1:11" x14ac:dyDescent="0.25">
      <c r="A468" t="s">
        <v>1899</v>
      </c>
      <c r="B468" t="s">
        <v>11</v>
      </c>
      <c r="C468" t="s">
        <v>36</v>
      </c>
      <c r="D468" t="s">
        <v>1900</v>
      </c>
      <c r="E468" t="s">
        <v>34</v>
      </c>
      <c r="F468" t="s">
        <v>1901</v>
      </c>
      <c r="G468" s="3">
        <v>45090</v>
      </c>
      <c r="H468" s="3">
        <v>45821</v>
      </c>
      <c r="I468" s="5">
        <v>6900.52</v>
      </c>
      <c r="J468" t="s">
        <v>19</v>
      </c>
      <c r="K468" t="str">
        <f ca="1">IF(TODAY()&gt;H468,"Expired","Active")</f>
        <v>Expired</v>
      </c>
    </row>
    <row r="469" spans="1:11" x14ac:dyDescent="0.25">
      <c r="A469" t="s">
        <v>1902</v>
      </c>
      <c r="B469" t="s">
        <v>24</v>
      </c>
      <c r="C469" t="s">
        <v>68</v>
      </c>
      <c r="D469" t="s">
        <v>1903</v>
      </c>
      <c r="E469" t="s">
        <v>34</v>
      </c>
      <c r="F469" t="s">
        <v>1904</v>
      </c>
      <c r="G469" s="3">
        <v>45269</v>
      </c>
      <c r="H469" s="3">
        <v>45635</v>
      </c>
      <c r="I469" s="5">
        <v>921.45</v>
      </c>
      <c r="J469" t="s">
        <v>19</v>
      </c>
      <c r="K469" t="str">
        <f ca="1">IF(TODAY()&gt;H469,"Expired","Active")</f>
        <v>Expired</v>
      </c>
    </row>
    <row r="470" spans="1:11" x14ac:dyDescent="0.25">
      <c r="A470" t="s">
        <v>1905</v>
      </c>
      <c r="B470" t="s">
        <v>20</v>
      </c>
      <c r="C470" t="s">
        <v>36</v>
      </c>
      <c r="D470" t="s">
        <v>1906</v>
      </c>
      <c r="E470" t="s">
        <v>22</v>
      </c>
      <c r="F470" t="s">
        <v>1907</v>
      </c>
      <c r="G470" s="3">
        <v>45059</v>
      </c>
      <c r="H470" s="3">
        <v>45790</v>
      </c>
      <c r="I470" s="5">
        <v>1723.64</v>
      </c>
      <c r="J470" t="s">
        <v>35</v>
      </c>
      <c r="K470" t="str">
        <f ca="1">IF(TODAY()&gt;H470,"Expired","Active")</f>
        <v>Expired</v>
      </c>
    </row>
    <row r="471" spans="1:11" x14ac:dyDescent="0.25">
      <c r="A471" t="s">
        <v>1908</v>
      </c>
      <c r="B471" t="s">
        <v>24</v>
      </c>
      <c r="C471" t="s">
        <v>77</v>
      </c>
      <c r="D471" t="s">
        <v>1909</v>
      </c>
      <c r="E471" t="s">
        <v>17</v>
      </c>
      <c r="F471" t="s">
        <v>1910</v>
      </c>
      <c r="G471" s="3">
        <v>45595</v>
      </c>
      <c r="H471" s="3">
        <v>46690</v>
      </c>
      <c r="I471" s="5">
        <v>1666.4</v>
      </c>
      <c r="J471" t="s">
        <v>23</v>
      </c>
      <c r="K471" t="str">
        <f ca="1">IF(TODAY()&gt;H471,"Expired","Active")</f>
        <v>Active</v>
      </c>
    </row>
    <row r="472" spans="1:11" x14ac:dyDescent="0.25">
      <c r="A472" t="s">
        <v>1911</v>
      </c>
      <c r="B472" t="s">
        <v>20</v>
      </c>
      <c r="C472" t="s">
        <v>27</v>
      </c>
      <c r="D472" t="s">
        <v>1912</v>
      </c>
      <c r="E472" t="s">
        <v>39</v>
      </c>
      <c r="F472" t="s">
        <v>1913</v>
      </c>
      <c r="G472" s="3">
        <v>45038</v>
      </c>
      <c r="H472" s="3">
        <v>45769</v>
      </c>
      <c r="I472" s="5">
        <v>1458.92</v>
      </c>
      <c r="J472" t="s">
        <v>19</v>
      </c>
      <c r="K472" t="str">
        <f ca="1">IF(TODAY()&gt;H472,"Expired","Active")</f>
        <v>Expired</v>
      </c>
    </row>
    <row r="473" spans="1:11" x14ac:dyDescent="0.25">
      <c r="A473" t="s">
        <v>1914</v>
      </c>
      <c r="B473" t="s">
        <v>15</v>
      </c>
      <c r="C473" t="s">
        <v>16</v>
      </c>
      <c r="D473" t="s">
        <v>1915</v>
      </c>
      <c r="E473" t="s">
        <v>34</v>
      </c>
      <c r="F473" t="s">
        <v>1916</v>
      </c>
      <c r="G473" s="3">
        <v>45228</v>
      </c>
      <c r="H473" s="3">
        <v>46324</v>
      </c>
      <c r="I473" s="5">
        <v>904.77</v>
      </c>
      <c r="J473" t="s">
        <v>23</v>
      </c>
      <c r="K473" t="str">
        <f ca="1">IF(TODAY()&gt;H473,"Expired","Active")</f>
        <v>Active</v>
      </c>
    </row>
    <row r="474" spans="1:11" x14ac:dyDescent="0.25">
      <c r="A474" t="s">
        <v>1917</v>
      </c>
      <c r="B474" t="s">
        <v>29</v>
      </c>
      <c r="C474" t="s">
        <v>44</v>
      </c>
      <c r="D474" t="s">
        <v>1918</v>
      </c>
      <c r="E474" t="s">
        <v>22</v>
      </c>
      <c r="F474" t="s">
        <v>1919</v>
      </c>
      <c r="G474" s="3">
        <v>45070</v>
      </c>
      <c r="H474" s="3">
        <v>45801</v>
      </c>
      <c r="I474" s="5">
        <v>8912.2199999999993</v>
      </c>
      <c r="J474" t="s">
        <v>14</v>
      </c>
      <c r="K474" t="str">
        <f ca="1">IF(TODAY()&gt;H474,"Expired","Active")</f>
        <v>Expired</v>
      </c>
    </row>
    <row r="475" spans="1:11" x14ac:dyDescent="0.25">
      <c r="A475" t="s">
        <v>1920</v>
      </c>
      <c r="B475" t="s">
        <v>24</v>
      </c>
      <c r="C475" t="s">
        <v>62</v>
      </c>
      <c r="D475" t="s">
        <v>1921</v>
      </c>
      <c r="E475" t="s">
        <v>34</v>
      </c>
      <c r="F475" t="s">
        <v>1922</v>
      </c>
      <c r="G475" s="3">
        <v>45268</v>
      </c>
      <c r="H475" s="3">
        <v>46364</v>
      </c>
      <c r="I475" s="5">
        <v>1020.04</v>
      </c>
      <c r="J475" t="s">
        <v>23</v>
      </c>
      <c r="K475" t="str">
        <f ca="1">IF(TODAY()&gt;H475,"Expired","Active")</f>
        <v>Active</v>
      </c>
    </row>
    <row r="476" spans="1:11" x14ac:dyDescent="0.25">
      <c r="A476" t="s">
        <v>1923</v>
      </c>
      <c r="B476" t="s">
        <v>26</v>
      </c>
      <c r="C476" t="s">
        <v>50</v>
      </c>
      <c r="D476" t="s">
        <v>1924</v>
      </c>
      <c r="E476" t="s">
        <v>17</v>
      </c>
      <c r="F476" t="s">
        <v>646</v>
      </c>
      <c r="G476" s="3">
        <v>45699</v>
      </c>
      <c r="H476" s="3">
        <v>46429</v>
      </c>
      <c r="I476" s="5">
        <v>1195.03</v>
      </c>
      <c r="J476" t="s">
        <v>19</v>
      </c>
      <c r="K476" t="str">
        <f ca="1">IF(TODAY()&gt;H476,"Expired","Active")</f>
        <v>Active</v>
      </c>
    </row>
    <row r="477" spans="1:11" x14ac:dyDescent="0.25">
      <c r="A477" t="s">
        <v>1925</v>
      </c>
      <c r="B477" t="s">
        <v>29</v>
      </c>
      <c r="C477" t="s">
        <v>43</v>
      </c>
      <c r="D477" t="s">
        <v>1926</v>
      </c>
      <c r="E477" t="s">
        <v>13</v>
      </c>
      <c r="F477" t="s">
        <v>134</v>
      </c>
      <c r="G477" s="3">
        <v>45847</v>
      </c>
      <c r="H477" s="3">
        <v>46212</v>
      </c>
      <c r="I477" s="5">
        <v>9960.23</v>
      </c>
      <c r="J477" t="s">
        <v>35</v>
      </c>
      <c r="K477" t="str">
        <f ca="1">IF(TODAY()&gt;H477,"Expired","Active")</f>
        <v>Active</v>
      </c>
    </row>
    <row r="478" spans="1:11" x14ac:dyDescent="0.25">
      <c r="A478" t="s">
        <v>1927</v>
      </c>
      <c r="B478" t="s">
        <v>29</v>
      </c>
      <c r="C478" t="s">
        <v>47</v>
      </c>
      <c r="D478" t="s">
        <v>1928</v>
      </c>
      <c r="E478" t="s">
        <v>34</v>
      </c>
      <c r="F478" t="s">
        <v>1929</v>
      </c>
      <c r="G478" s="3">
        <v>45932</v>
      </c>
      <c r="H478" s="3">
        <v>47028</v>
      </c>
      <c r="I478" s="5">
        <v>8499.9</v>
      </c>
      <c r="J478" t="s">
        <v>14</v>
      </c>
      <c r="K478" t="str">
        <f ca="1">IF(TODAY()&gt;H478,"Expired","Active")</f>
        <v>Active</v>
      </c>
    </row>
    <row r="479" spans="1:11" x14ac:dyDescent="0.25">
      <c r="A479" t="s">
        <v>1930</v>
      </c>
      <c r="B479" t="s">
        <v>29</v>
      </c>
      <c r="C479" t="s">
        <v>21</v>
      </c>
      <c r="D479" t="s">
        <v>1931</v>
      </c>
      <c r="E479" t="s">
        <v>34</v>
      </c>
      <c r="F479" t="s">
        <v>1932</v>
      </c>
      <c r="G479" s="3">
        <v>46089</v>
      </c>
      <c r="H479" s="3">
        <v>46454</v>
      </c>
      <c r="I479" s="5">
        <v>6245.68</v>
      </c>
      <c r="J479" t="s">
        <v>23</v>
      </c>
      <c r="K479" t="str">
        <f ca="1">IF(TODAY()&gt;H479,"Expired","Active")</f>
        <v>Active</v>
      </c>
    </row>
    <row r="480" spans="1:11" x14ac:dyDescent="0.25">
      <c r="A480" t="s">
        <v>1933</v>
      </c>
      <c r="B480" t="s">
        <v>11</v>
      </c>
      <c r="C480" t="s">
        <v>48</v>
      </c>
      <c r="D480" t="s">
        <v>1934</v>
      </c>
      <c r="E480" t="s">
        <v>37</v>
      </c>
      <c r="F480" t="s">
        <v>135</v>
      </c>
      <c r="G480" s="3">
        <v>46008</v>
      </c>
      <c r="H480" s="3">
        <v>46373</v>
      </c>
      <c r="I480" s="5">
        <v>2926.15</v>
      </c>
      <c r="J480" t="s">
        <v>14</v>
      </c>
      <c r="K480" t="str">
        <f ca="1">IF(TODAY()&gt;H480,"Expired","Active")</f>
        <v>Active</v>
      </c>
    </row>
    <row r="481" spans="1:11" x14ac:dyDescent="0.25">
      <c r="A481" t="s">
        <v>1935</v>
      </c>
      <c r="B481" t="s">
        <v>24</v>
      </c>
      <c r="C481" t="s">
        <v>56</v>
      </c>
      <c r="D481" t="s">
        <v>1936</v>
      </c>
      <c r="E481" t="s">
        <v>34</v>
      </c>
      <c r="F481" t="s">
        <v>1937</v>
      </c>
      <c r="G481" s="3">
        <v>45896</v>
      </c>
      <c r="H481" s="3">
        <v>46626</v>
      </c>
      <c r="I481" s="5">
        <v>1241.92</v>
      </c>
      <c r="J481" t="s">
        <v>23</v>
      </c>
      <c r="K481" t="str">
        <f ca="1">IF(TODAY()&gt;H481,"Expired","Active")</f>
        <v>Active</v>
      </c>
    </row>
    <row r="482" spans="1:11" x14ac:dyDescent="0.25">
      <c r="A482" t="s">
        <v>1938</v>
      </c>
      <c r="B482" t="s">
        <v>26</v>
      </c>
      <c r="C482" t="s">
        <v>12</v>
      </c>
      <c r="D482" t="s">
        <v>1939</v>
      </c>
      <c r="E482" t="s">
        <v>17</v>
      </c>
      <c r="F482" t="s">
        <v>1940</v>
      </c>
      <c r="G482" s="3">
        <v>45107</v>
      </c>
      <c r="H482" s="3">
        <v>45473</v>
      </c>
      <c r="I482" s="5">
        <v>964.84</v>
      </c>
      <c r="J482" t="s">
        <v>35</v>
      </c>
      <c r="K482" t="str">
        <f ca="1">IF(TODAY()&gt;H482,"Expired","Active")</f>
        <v>Expired</v>
      </c>
    </row>
    <row r="483" spans="1:11" x14ac:dyDescent="0.25">
      <c r="A483" t="s">
        <v>1941</v>
      </c>
      <c r="B483" t="s">
        <v>20</v>
      </c>
      <c r="C483" t="s">
        <v>16</v>
      </c>
      <c r="D483" t="s">
        <v>1942</v>
      </c>
      <c r="E483" t="s">
        <v>32</v>
      </c>
      <c r="F483" t="s">
        <v>136</v>
      </c>
      <c r="G483" s="3">
        <v>45279</v>
      </c>
      <c r="H483" s="3">
        <v>45645</v>
      </c>
      <c r="I483" s="5">
        <v>1603.82</v>
      </c>
      <c r="J483" t="s">
        <v>19</v>
      </c>
      <c r="K483" t="str">
        <f ca="1">IF(TODAY()&gt;H483,"Expired","Active")</f>
        <v>Expired</v>
      </c>
    </row>
    <row r="484" spans="1:11" x14ac:dyDescent="0.25">
      <c r="A484" t="s">
        <v>1943</v>
      </c>
      <c r="B484" t="s">
        <v>24</v>
      </c>
      <c r="C484" t="s">
        <v>51</v>
      </c>
      <c r="D484" t="s">
        <v>1944</v>
      </c>
      <c r="E484" t="s">
        <v>37</v>
      </c>
      <c r="F484" t="s">
        <v>1945</v>
      </c>
      <c r="G484" s="3">
        <v>45727</v>
      </c>
      <c r="H484" s="3">
        <v>46823</v>
      </c>
      <c r="I484" s="5">
        <v>1034.44</v>
      </c>
      <c r="J484" t="s">
        <v>14</v>
      </c>
      <c r="K484" t="str">
        <f ca="1">IF(TODAY()&gt;H484,"Expired","Active")</f>
        <v>Active</v>
      </c>
    </row>
    <row r="485" spans="1:11" x14ac:dyDescent="0.25">
      <c r="A485" t="s">
        <v>1946</v>
      </c>
      <c r="B485" t="s">
        <v>26</v>
      </c>
      <c r="C485" t="s">
        <v>21</v>
      </c>
      <c r="D485" t="s">
        <v>1947</v>
      </c>
      <c r="E485" t="s">
        <v>13</v>
      </c>
      <c r="F485" t="s">
        <v>137</v>
      </c>
      <c r="G485" s="3">
        <v>45455</v>
      </c>
      <c r="H485" s="3">
        <v>46550</v>
      </c>
      <c r="I485" s="5">
        <v>759.82</v>
      </c>
      <c r="J485" t="s">
        <v>19</v>
      </c>
      <c r="K485" t="str">
        <f ca="1">IF(TODAY()&gt;H485,"Expired","Active")</f>
        <v>Active</v>
      </c>
    </row>
    <row r="486" spans="1:11" x14ac:dyDescent="0.25">
      <c r="A486" t="s">
        <v>1948</v>
      </c>
      <c r="B486" t="s">
        <v>11</v>
      </c>
      <c r="C486" t="s">
        <v>55</v>
      </c>
      <c r="D486" t="s">
        <v>1949</v>
      </c>
      <c r="E486" t="s">
        <v>32</v>
      </c>
      <c r="F486" t="s">
        <v>1950</v>
      </c>
      <c r="G486" s="3">
        <v>45529</v>
      </c>
      <c r="H486" s="3">
        <v>45894</v>
      </c>
      <c r="I486" s="5">
        <v>5137.5600000000004</v>
      </c>
      <c r="J486" t="s">
        <v>19</v>
      </c>
      <c r="K486" t="str">
        <f ca="1">IF(TODAY()&gt;H486,"Expired","Active")</f>
        <v>Expired</v>
      </c>
    </row>
    <row r="487" spans="1:11" x14ac:dyDescent="0.25">
      <c r="A487" t="s">
        <v>1951</v>
      </c>
      <c r="B487" t="s">
        <v>20</v>
      </c>
      <c r="C487" t="s">
        <v>27</v>
      </c>
      <c r="D487" t="s">
        <v>1952</v>
      </c>
      <c r="E487" t="s">
        <v>13</v>
      </c>
      <c r="F487" t="s">
        <v>647</v>
      </c>
      <c r="G487" s="3">
        <v>45776</v>
      </c>
      <c r="H487" s="3">
        <v>46872</v>
      </c>
      <c r="I487" s="5">
        <v>1563.8</v>
      </c>
      <c r="J487" t="s">
        <v>14</v>
      </c>
      <c r="K487" t="str">
        <f ca="1">IF(TODAY()&gt;H487,"Expired","Active")</f>
        <v>Active</v>
      </c>
    </row>
    <row r="488" spans="1:11" x14ac:dyDescent="0.25">
      <c r="A488" t="s">
        <v>1953</v>
      </c>
      <c r="B488" t="s">
        <v>15</v>
      </c>
      <c r="C488" t="s">
        <v>49</v>
      </c>
      <c r="D488" t="s">
        <v>1954</v>
      </c>
      <c r="E488" t="s">
        <v>32</v>
      </c>
      <c r="F488" t="s">
        <v>1955</v>
      </c>
      <c r="G488" s="3">
        <v>45365</v>
      </c>
      <c r="H488" s="3">
        <v>45730</v>
      </c>
      <c r="I488" s="5">
        <v>1183.57</v>
      </c>
      <c r="J488" t="s">
        <v>14</v>
      </c>
      <c r="K488" t="str">
        <f ca="1">IF(TODAY()&gt;H488,"Expired","Active")</f>
        <v>Expired</v>
      </c>
    </row>
    <row r="489" spans="1:11" x14ac:dyDescent="0.25">
      <c r="A489" t="s">
        <v>1956</v>
      </c>
      <c r="B489" t="s">
        <v>15</v>
      </c>
      <c r="C489" t="s">
        <v>52</v>
      </c>
      <c r="D489" t="s">
        <v>1957</v>
      </c>
      <c r="E489" t="s">
        <v>32</v>
      </c>
      <c r="F489" t="s">
        <v>1958</v>
      </c>
      <c r="G489" s="3">
        <v>45629</v>
      </c>
      <c r="H489" s="3">
        <v>45994</v>
      </c>
      <c r="I489" s="5">
        <v>449.17</v>
      </c>
      <c r="J489" t="s">
        <v>35</v>
      </c>
      <c r="K489" t="str">
        <f ca="1">IF(TODAY()&gt;H489,"Expired","Active")</f>
        <v>Expired</v>
      </c>
    </row>
    <row r="490" spans="1:11" x14ac:dyDescent="0.25">
      <c r="A490" t="s">
        <v>1959</v>
      </c>
      <c r="B490" t="s">
        <v>29</v>
      </c>
      <c r="C490" t="s">
        <v>49</v>
      </c>
      <c r="D490" t="s">
        <v>1960</v>
      </c>
      <c r="E490" t="s">
        <v>13</v>
      </c>
      <c r="F490" t="s">
        <v>1961</v>
      </c>
      <c r="G490" s="3">
        <v>46077</v>
      </c>
      <c r="H490" s="3">
        <v>46442</v>
      </c>
      <c r="I490" s="5">
        <v>3676.23</v>
      </c>
      <c r="J490" t="s">
        <v>19</v>
      </c>
      <c r="K490" t="str">
        <f ca="1">IF(TODAY()&gt;H490,"Expired","Active")</f>
        <v>Active</v>
      </c>
    </row>
    <row r="491" spans="1:11" x14ac:dyDescent="0.25">
      <c r="A491" t="s">
        <v>1962</v>
      </c>
      <c r="B491" t="s">
        <v>29</v>
      </c>
      <c r="C491" t="s">
        <v>58</v>
      </c>
      <c r="D491" t="s">
        <v>1963</v>
      </c>
      <c r="E491" t="s">
        <v>34</v>
      </c>
      <c r="F491" t="s">
        <v>1964</v>
      </c>
      <c r="G491" s="3">
        <v>45953</v>
      </c>
      <c r="H491" s="3">
        <v>46683</v>
      </c>
      <c r="I491" s="5">
        <v>5394.86</v>
      </c>
      <c r="J491" t="s">
        <v>35</v>
      </c>
      <c r="K491" t="str">
        <f ca="1">IF(TODAY()&gt;H491,"Expired","Active")</f>
        <v>Active</v>
      </c>
    </row>
    <row r="492" spans="1:11" x14ac:dyDescent="0.25">
      <c r="A492" t="s">
        <v>1965</v>
      </c>
      <c r="B492" t="s">
        <v>20</v>
      </c>
      <c r="C492" t="s">
        <v>77</v>
      </c>
      <c r="D492" t="s">
        <v>1966</v>
      </c>
      <c r="E492" t="s">
        <v>22</v>
      </c>
      <c r="F492" t="s">
        <v>1967</v>
      </c>
      <c r="G492" s="3">
        <v>45811</v>
      </c>
      <c r="H492" s="3">
        <v>46541</v>
      </c>
      <c r="I492" s="5">
        <v>1207.49</v>
      </c>
      <c r="J492" t="s">
        <v>14</v>
      </c>
      <c r="K492" t="str">
        <f ca="1">IF(TODAY()&gt;H492,"Expired","Active")</f>
        <v>Active</v>
      </c>
    </row>
    <row r="493" spans="1:11" x14ac:dyDescent="0.25">
      <c r="A493" t="s">
        <v>1968</v>
      </c>
      <c r="B493" t="s">
        <v>20</v>
      </c>
      <c r="C493" t="s">
        <v>60</v>
      </c>
      <c r="D493" t="s">
        <v>1969</v>
      </c>
      <c r="E493" t="s">
        <v>37</v>
      </c>
      <c r="F493" t="s">
        <v>138</v>
      </c>
      <c r="G493" s="3">
        <v>45787</v>
      </c>
      <c r="H493" s="3">
        <v>46883</v>
      </c>
      <c r="I493" s="5">
        <v>1472.3</v>
      </c>
      <c r="J493" t="s">
        <v>14</v>
      </c>
      <c r="K493" t="str">
        <f ca="1">IF(TODAY()&gt;H493,"Expired","Active")</f>
        <v>Active</v>
      </c>
    </row>
    <row r="494" spans="1:11" x14ac:dyDescent="0.25">
      <c r="A494" t="s">
        <v>1970</v>
      </c>
      <c r="B494" t="s">
        <v>24</v>
      </c>
      <c r="C494" t="s">
        <v>52</v>
      </c>
      <c r="D494" t="s">
        <v>1971</v>
      </c>
      <c r="E494" t="s">
        <v>17</v>
      </c>
      <c r="F494" t="s">
        <v>1972</v>
      </c>
      <c r="G494" s="3">
        <v>46007</v>
      </c>
      <c r="H494" s="3">
        <v>46737</v>
      </c>
      <c r="I494" s="5">
        <v>854.4</v>
      </c>
      <c r="J494" t="s">
        <v>14</v>
      </c>
      <c r="K494" t="str">
        <f ca="1">IF(TODAY()&gt;H494,"Expired","Active")</f>
        <v>Active</v>
      </c>
    </row>
    <row r="495" spans="1:11" x14ac:dyDescent="0.25">
      <c r="A495" t="s">
        <v>1973</v>
      </c>
      <c r="B495" t="s">
        <v>26</v>
      </c>
      <c r="C495" t="s">
        <v>66</v>
      </c>
      <c r="D495" t="s">
        <v>1974</v>
      </c>
      <c r="E495" t="s">
        <v>13</v>
      </c>
      <c r="F495" t="s">
        <v>648</v>
      </c>
      <c r="G495" s="3">
        <v>45488</v>
      </c>
      <c r="H495" s="3">
        <v>45853</v>
      </c>
      <c r="I495" s="5">
        <v>1050.47</v>
      </c>
      <c r="J495" t="s">
        <v>23</v>
      </c>
      <c r="K495" t="str">
        <f ca="1">IF(TODAY()&gt;H495,"Expired","Active")</f>
        <v>Expired</v>
      </c>
    </row>
    <row r="496" spans="1:11" x14ac:dyDescent="0.25">
      <c r="A496" t="s">
        <v>1975</v>
      </c>
      <c r="B496" t="s">
        <v>26</v>
      </c>
      <c r="C496" t="s">
        <v>16</v>
      </c>
      <c r="D496" t="s">
        <v>1976</v>
      </c>
      <c r="E496" t="s">
        <v>39</v>
      </c>
      <c r="F496" t="s">
        <v>1977</v>
      </c>
      <c r="G496" s="3">
        <v>45519</v>
      </c>
      <c r="H496" s="3">
        <v>45884</v>
      </c>
      <c r="I496" s="5">
        <v>675.38</v>
      </c>
      <c r="J496" t="s">
        <v>23</v>
      </c>
      <c r="K496" t="str">
        <f ca="1">IF(TODAY()&gt;H496,"Expired","Active")</f>
        <v>Expired</v>
      </c>
    </row>
    <row r="497" spans="1:11" x14ac:dyDescent="0.25">
      <c r="A497" t="s">
        <v>139</v>
      </c>
      <c r="B497" t="s">
        <v>29</v>
      </c>
      <c r="C497" t="s">
        <v>72</v>
      </c>
      <c r="D497" t="s">
        <v>1978</v>
      </c>
      <c r="E497" t="s">
        <v>13</v>
      </c>
      <c r="F497" t="s">
        <v>1979</v>
      </c>
      <c r="G497" s="3">
        <v>46011</v>
      </c>
      <c r="H497" s="3">
        <v>46741</v>
      </c>
      <c r="I497" s="5">
        <v>9156.9699999999993</v>
      </c>
      <c r="J497" t="s">
        <v>35</v>
      </c>
      <c r="K497" t="str">
        <f ca="1">IF(TODAY()&gt;H497,"Expired","Active")</f>
        <v>Active</v>
      </c>
    </row>
    <row r="498" spans="1:11" x14ac:dyDescent="0.25">
      <c r="A498" t="s">
        <v>1980</v>
      </c>
      <c r="B498" t="s">
        <v>26</v>
      </c>
      <c r="C498" t="s">
        <v>69</v>
      </c>
      <c r="D498" t="s">
        <v>1981</v>
      </c>
      <c r="E498" t="s">
        <v>37</v>
      </c>
      <c r="F498" t="s">
        <v>1982</v>
      </c>
      <c r="G498" s="3">
        <v>45819</v>
      </c>
      <c r="H498" s="3">
        <v>46915</v>
      </c>
      <c r="I498" s="5">
        <v>1016.59</v>
      </c>
      <c r="J498" t="s">
        <v>19</v>
      </c>
      <c r="K498" t="str">
        <f ca="1">IF(TODAY()&gt;H498,"Expired","Active")</f>
        <v>Active</v>
      </c>
    </row>
    <row r="499" spans="1:11" x14ac:dyDescent="0.25">
      <c r="A499" t="s">
        <v>1983</v>
      </c>
      <c r="B499" t="s">
        <v>20</v>
      </c>
      <c r="C499" t="s">
        <v>30</v>
      </c>
      <c r="D499" t="s">
        <v>1984</v>
      </c>
      <c r="E499" t="s">
        <v>39</v>
      </c>
      <c r="F499" t="s">
        <v>1985</v>
      </c>
      <c r="G499" s="3">
        <v>45480</v>
      </c>
      <c r="H499" s="3">
        <v>45845</v>
      </c>
      <c r="I499" s="5">
        <v>1711.85</v>
      </c>
      <c r="J499" t="s">
        <v>35</v>
      </c>
      <c r="K499" t="str">
        <f ca="1">IF(TODAY()&gt;H499,"Expired","Active")</f>
        <v>Expired</v>
      </c>
    </row>
    <row r="500" spans="1:11" x14ac:dyDescent="0.25">
      <c r="A500" t="s">
        <v>1986</v>
      </c>
      <c r="B500" t="s">
        <v>24</v>
      </c>
      <c r="C500" t="s">
        <v>53</v>
      </c>
      <c r="D500" t="s">
        <v>1987</v>
      </c>
      <c r="E500" t="s">
        <v>37</v>
      </c>
      <c r="F500" t="s">
        <v>1988</v>
      </c>
      <c r="G500" s="3">
        <v>45068</v>
      </c>
      <c r="H500" s="3">
        <v>46164</v>
      </c>
      <c r="I500" s="5">
        <v>1626.22</v>
      </c>
      <c r="J500" t="s">
        <v>35</v>
      </c>
      <c r="K500" t="str">
        <f ca="1">IF(TODAY()&gt;H500,"Expired","Active")</f>
        <v>Active</v>
      </c>
    </row>
    <row r="501" spans="1:11" x14ac:dyDescent="0.25">
      <c r="A501" t="s">
        <v>1989</v>
      </c>
      <c r="B501" t="s">
        <v>20</v>
      </c>
      <c r="C501" t="s">
        <v>58</v>
      </c>
      <c r="D501" t="s">
        <v>1990</v>
      </c>
      <c r="E501" t="s">
        <v>22</v>
      </c>
      <c r="F501" t="s">
        <v>1991</v>
      </c>
      <c r="G501" s="3">
        <v>45986</v>
      </c>
      <c r="H501" s="3">
        <v>47082</v>
      </c>
      <c r="I501" s="5">
        <v>1669.77</v>
      </c>
      <c r="J501" t="s">
        <v>35</v>
      </c>
      <c r="K501" t="str">
        <f ca="1">IF(TODAY()&gt;H501,"Expired","Active")</f>
        <v>Active</v>
      </c>
    </row>
    <row r="502" spans="1:11" x14ac:dyDescent="0.25">
      <c r="A502" t="s">
        <v>1992</v>
      </c>
      <c r="B502" t="s">
        <v>29</v>
      </c>
      <c r="C502" t="s">
        <v>42</v>
      </c>
      <c r="D502" t="s">
        <v>1993</v>
      </c>
      <c r="E502" t="s">
        <v>39</v>
      </c>
      <c r="F502" t="s">
        <v>1994</v>
      </c>
      <c r="G502" s="3">
        <v>45673</v>
      </c>
      <c r="H502" s="3">
        <v>46403</v>
      </c>
      <c r="I502" s="5">
        <v>9797.17</v>
      </c>
      <c r="J502" t="s">
        <v>23</v>
      </c>
      <c r="K502" t="str">
        <f ca="1">IF(TODAY()&gt;H502,"Expired","Active")</f>
        <v>Active</v>
      </c>
    </row>
    <row r="503" spans="1:11" x14ac:dyDescent="0.25">
      <c r="A503" t="s">
        <v>649</v>
      </c>
      <c r="B503" t="s">
        <v>15</v>
      </c>
      <c r="C503" t="s">
        <v>49</v>
      </c>
      <c r="D503" t="s">
        <v>1995</v>
      </c>
      <c r="E503" t="s">
        <v>13</v>
      </c>
      <c r="F503" t="s">
        <v>140</v>
      </c>
      <c r="G503" s="3">
        <v>45015</v>
      </c>
      <c r="H503" s="3">
        <v>46111</v>
      </c>
      <c r="I503" s="5">
        <v>730.49</v>
      </c>
      <c r="J503" t="s">
        <v>35</v>
      </c>
      <c r="K503" t="str">
        <f ca="1">IF(TODAY()&gt;H503,"Expired","Active")</f>
        <v>Expired</v>
      </c>
    </row>
    <row r="504" spans="1:11" x14ac:dyDescent="0.25">
      <c r="A504" t="s">
        <v>1996</v>
      </c>
      <c r="B504" t="s">
        <v>24</v>
      </c>
      <c r="C504" t="s">
        <v>43</v>
      </c>
      <c r="D504" t="s">
        <v>1997</v>
      </c>
      <c r="E504" t="s">
        <v>34</v>
      </c>
      <c r="F504" t="s">
        <v>141</v>
      </c>
      <c r="G504" s="3">
        <v>45989</v>
      </c>
      <c r="H504" s="3">
        <v>46354</v>
      </c>
      <c r="I504" s="5">
        <v>1499.87</v>
      </c>
      <c r="J504" t="s">
        <v>23</v>
      </c>
      <c r="K504" t="str">
        <f ca="1">IF(TODAY()&gt;H504,"Expired","Active")</f>
        <v>Active</v>
      </c>
    </row>
    <row r="505" spans="1:11" x14ac:dyDescent="0.25">
      <c r="A505" t="s">
        <v>1998</v>
      </c>
      <c r="B505" t="s">
        <v>20</v>
      </c>
      <c r="C505" t="s">
        <v>56</v>
      </c>
      <c r="D505" t="s">
        <v>1999</v>
      </c>
      <c r="E505" t="s">
        <v>22</v>
      </c>
      <c r="F505" t="s">
        <v>142</v>
      </c>
      <c r="G505" s="3">
        <v>45801</v>
      </c>
      <c r="H505" s="3">
        <v>46531</v>
      </c>
      <c r="I505" s="5">
        <v>1405.95</v>
      </c>
      <c r="J505" t="s">
        <v>35</v>
      </c>
      <c r="K505" t="str">
        <f ca="1">IF(TODAY()&gt;H505,"Expired","Active")</f>
        <v>Active</v>
      </c>
    </row>
    <row r="506" spans="1:11" x14ac:dyDescent="0.25">
      <c r="A506" t="s">
        <v>2000</v>
      </c>
      <c r="B506" t="s">
        <v>20</v>
      </c>
      <c r="C506" t="s">
        <v>44</v>
      </c>
      <c r="D506" t="s">
        <v>2001</v>
      </c>
      <c r="E506" t="s">
        <v>32</v>
      </c>
      <c r="F506" t="s">
        <v>2002</v>
      </c>
      <c r="G506" s="3">
        <v>45710</v>
      </c>
      <c r="H506" s="3">
        <v>46805</v>
      </c>
      <c r="I506" s="5">
        <v>1149.7</v>
      </c>
      <c r="J506" t="s">
        <v>14</v>
      </c>
      <c r="K506" t="str">
        <f ca="1">IF(TODAY()&gt;H506,"Expired","Active")</f>
        <v>Active</v>
      </c>
    </row>
    <row r="507" spans="1:11" x14ac:dyDescent="0.25">
      <c r="A507" t="s">
        <v>2003</v>
      </c>
      <c r="B507" t="s">
        <v>29</v>
      </c>
      <c r="C507" t="s">
        <v>31</v>
      </c>
      <c r="D507" t="s">
        <v>2004</v>
      </c>
      <c r="E507" t="s">
        <v>37</v>
      </c>
      <c r="F507" t="s">
        <v>2005</v>
      </c>
      <c r="G507" s="3">
        <v>45113</v>
      </c>
      <c r="H507" s="3">
        <v>45479</v>
      </c>
      <c r="I507" s="5">
        <v>11040.07</v>
      </c>
      <c r="J507" t="s">
        <v>19</v>
      </c>
      <c r="K507" t="str">
        <f ca="1">IF(TODAY()&gt;H507,"Expired","Active")</f>
        <v>Expired</v>
      </c>
    </row>
    <row r="508" spans="1:11" x14ac:dyDescent="0.25">
      <c r="A508" t="s">
        <v>2006</v>
      </c>
      <c r="B508" t="s">
        <v>24</v>
      </c>
      <c r="C508" t="s">
        <v>66</v>
      </c>
      <c r="D508" t="s">
        <v>2007</v>
      </c>
      <c r="E508" t="s">
        <v>37</v>
      </c>
      <c r="F508" t="s">
        <v>650</v>
      </c>
      <c r="G508" s="3">
        <v>46019</v>
      </c>
      <c r="H508" s="3">
        <v>47115</v>
      </c>
      <c r="I508" s="5">
        <v>1426.37</v>
      </c>
      <c r="J508" t="s">
        <v>35</v>
      </c>
      <c r="K508" t="str">
        <f ca="1">IF(TODAY()&gt;H508,"Expired","Active")</f>
        <v>Active</v>
      </c>
    </row>
    <row r="509" spans="1:11" x14ac:dyDescent="0.25">
      <c r="A509" t="s">
        <v>651</v>
      </c>
      <c r="B509" t="s">
        <v>11</v>
      </c>
      <c r="C509" t="s">
        <v>12</v>
      </c>
      <c r="D509" t="s">
        <v>2008</v>
      </c>
      <c r="E509" t="s">
        <v>17</v>
      </c>
      <c r="F509" t="s">
        <v>2009</v>
      </c>
      <c r="G509" s="3">
        <v>45385</v>
      </c>
      <c r="H509" s="3">
        <v>45750</v>
      </c>
      <c r="I509" s="5">
        <v>3244.08</v>
      </c>
      <c r="J509" t="s">
        <v>23</v>
      </c>
      <c r="K509" t="str">
        <f ca="1">IF(TODAY()&gt;H509,"Expired","Active")</f>
        <v>Expired</v>
      </c>
    </row>
    <row r="510" spans="1:11" x14ac:dyDescent="0.25">
      <c r="A510" t="s">
        <v>652</v>
      </c>
      <c r="B510" t="s">
        <v>15</v>
      </c>
      <c r="C510" t="s">
        <v>52</v>
      </c>
      <c r="D510" t="s">
        <v>2010</v>
      </c>
      <c r="E510" t="s">
        <v>37</v>
      </c>
      <c r="F510" t="s">
        <v>653</v>
      </c>
      <c r="G510" s="3">
        <v>45009</v>
      </c>
      <c r="H510" s="3">
        <v>45375</v>
      </c>
      <c r="I510" s="5">
        <v>1121.81</v>
      </c>
      <c r="J510" t="s">
        <v>23</v>
      </c>
      <c r="K510" t="str">
        <f ca="1">IF(TODAY()&gt;H510,"Expired","Active")</f>
        <v>Expired</v>
      </c>
    </row>
    <row r="511" spans="1:11" x14ac:dyDescent="0.25">
      <c r="A511" t="s">
        <v>143</v>
      </c>
      <c r="B511" t="s">
        <v>15</v>
      </c>
      <c r="C511" t="s">
        <v>51</v>
      </c>
      <c r="D511" t="s">
        <v>2011</v>
      </c>
      <c r="E511" t="s">
        <v>22</v>
      </c>
      <c r="F511" t="s">
        <v>144</v>
      </c>
      <c r="G511" s="3">
        <v>45842</v>
      </c>
      <c r="H511" s="3">
        <v>46572</v>
      </c>
      <c r="I511" s="5">
        <v>742.94</v>
      </c>
      <c r="J511" t="s">
        <v>35</v>
      </c>
      <c r="K511" t="str">
        <f ca="1">IF(TODAY()&gt;H511,"Expired","Active")</f>
        <v>Active</v>
      </c>
    </row>
    <row r="512" spans="1:11" x14ac:dyDescent="0.25">
      <c r="A512" t="s">
        <v>2012</v>
      </c>
      <c r="B512" t="s">
        <v>26</v>
      </c>
      <c r="C512" t="s">
        <v>42</v>
      </c>
      <c r="D512" t="s">
        <v>2013</v>
      </c>
      <c r="E512" t="s">
        <v>39</v>
      </c>
      <c r="F512" t="s">
        <v>2014</v>
      </c>
      <c r="G512" s="3">
        <v>45044</v>
      </c>
      <c r="H512" s="3">
        <v>45775</v>
      </c>
      <c r="I512" s="5">
        <v>946.4</v>
      </c>
      <c r="J512" t="s">
        <v>19</v>
      </c>
      <c r="K512" t="str">
        <f ca="1">IF(TODAY()&gt;H512,"Expired","Active")</f>
        <v>Expired</v>
      </c>
    </row>
    <row r="513" spans="1:11" x14ac:dyDescent="0.25">
      <c r="A513" t="s">
        <v>2015</v>
      </c>
      <c r="B513" t="s">
        <v>15</v>
      </c>
      <c r="C513" t="s">
        <v>33</v>
      </c>
      <c r="D513" t="s">
        <v>2016</v>
      </c>
      <c r="E513" t="s">
        <v>32</v>
      </c>
      <c r="F513" t="s">
        <v>654</v>
      </c>
      <c r="G513" s="3">
        <v>45861</v>
      </c>
      <c r="H513" s="3">
        <v>46591</v>
      </c>
      <c r="I513" s="5">
        <v>686.24</v>
      </c>
      <c r="J513" t="s">
        <v>35</v>
      </c>
      <c r="K513" t="str">
        <f ca="1">IF(TODAY()&gt;H513,"Expired","Active")</f>
        <v>Active</v>
      </c>
    </row>
    <row r="514" spans="1:11" x14ac:dyDescent="0.25">
      <c r="A514" t="s">
        <v>2017</v>
      </c>
      <c r="B514" t="s">
        <v>15</v>
      </c>
      <c r="C514" t="s">
        <v>36</v>
      </c>
      <c r="D514" t="s">
        <v>2018</v>
      </c>
      <c r="E514" t="s">
        <v>37</v>
      </c>
      <c r="F514" t="s">
        <v>2019</v>
      </c>
      <c r="G514" s="3">
        <v>45745</v>
      </c>
      <c r="H514" s="3">
        <v>46841</v>
      </c>
      <c r="I514" s="5">
        <v>1096.3800000000001</v>
      </c>
      <c r="J514" t="s">
        <v>23</v>
      </c>
      <c r="K514" t="str">
        <f ca="1">IF(TODAY()&gt;H514,"Expired","Active")</f>
        <v>Active</v>
      </c>
    </row>
    <row r="515" spans="1:11" x14ac:dyDescent="0.25">
      <c r="A515" t="s">
        <v>2020</v>
      </c>
      <c r="B515" t="s">
        <v>26</v>
      </c>
      <c r="C515" t="s">
        <v>47</v>
      </c>
      <c r="D515" t="s">
        <v>2021</v>
      </c>
      <c r="E515" t="s">
        <v>34</v>
      </c>
      <c r="F515" t="s">
        <v>145</v>
      </c>
      <c r="G515" s="3">
        <v>45336</v>
      </c>
      <c r="H515" s="3">
        <v>45702</v>
      </c>
      <c r="I515" s="5">
        <v>1089.9000000000001</v>
      </c>
      <c r="J515" t="s">
        <v>19</v>
      </c>
      <c r="K515" t="str">
        <f ca="1">IF(TODAY()&gt;H515,"Expired","Active")</f>
        <v>Expired</v>
      </c>
    </row>
    <row r="516" spans="1:11" x14ac:dyDescent="0.25">
      <c r="A516" t="s">
        <v>2022</v>
      </c>
      <c r="B516" t="s">
        <v>15</v>
      </c>
      <c r="C516" t="s">
        <v>77</v>
      </c>
      <c r="D516" t="s">
        <v>2023</v>
      </c>
      <c r="E516" t="s">
        <v>39</v>
      </c>
      <c r="F516" t="s">
        <v>2024</v>
      </c>
      <c r="G516" s="3">
        <v>45282</v>
      </c>
      <c r="H516" s="3">
        <v>45648</v>
      </c>
      <c r="I516" s="5">
        <v>908.28</v>
      </c>
      <c r="J516" t="s">
        <v>23</v>
      </c>
      <c r="K516" t="str">
        <f ca="1">IF(TODAY()&gt;H516,"Expired","Active")</f>
        <v>Expired</v>
      </c>
    </row>
    <row r="517" spans="1:11" x14ac:dyDescent="0.25">
      <c r="A517" t="s">
        <v>2025</v>
      </c>
      <c r="B517" t="s">
        <v>11</v>
      </c>
      <c r="C517" t="s">
        <v>68</v>
      </c>
      <c r="D517" t="s">
        <v>2026</v>
      </c>
      <c r="E517" t="s">
        <v>13</v>
      </c>
      <c r="F517" t="s">
        <v>2027</v>
      </c>
      <c r="G517" s="3">
        <v>45147</v>
      </c>
      <c r="H517" s="3">
        <v>45513</v>
      </c>
      <c r="I517" s="5">
        <v>4870.8599999999997</v>
      </c>
      <c r="J517" t="s">
        <v>19</v>
      </c>
      <c r="K517" t="str">
        <f ca="1">IF(TODAY()&gt;H517,"Expired","Active")</f>
        <v>Expired</v>
      </c>
    </row>
    <row r="518" spans="1:11" x14ac:dyDescent="0.25">
      <c r="A518" t="s">
        <v>2028</v>
      </c>
      <c r="B518" t="s">
        <v>24</v>
      </c>
      <c r="C518" t="s">
        <v>36</v>
      </c>
      <c r="D518" t="s">
        <v>2029</v>
      </c>
      <c r="E518" t="s">
        <v>39</v>
      </c>
      <c r="F518" t="s">
        <v>2030</v>
      </c>
      <c r="G518" s="3">
        <v>45026</v>
      </c>
      <c r="H518" s="3">
        <v>45392</v>
      </c>
      <c r="I518" s="5">
        <v>896.76</v>
      </c>
      <c r="J518" t="s">
        <v>14</v>
      </c>
      <c r="K518" t="str">
        <f ca="1">IF(TODAY()&gt;H518,"Expired","Active")</f>
        <v>Expired</v>
      </c>
    </row>
    <row r="519" spans="1:11" x14ac:dyDescent="0.25">
      <c r="A519" t="s">
        <v>2031</v>
      </c>
      <c r="B519" t="s">
        <v>26</v>
      </c>
      <c r="C519" t="s">
        <v>49</v>
      </c>
      <c r="D519" t="s">
        <v>2032</v>
      </c>
      <c r="E519" t="s">
        <v>37</v>
      </c>
      <c r="F519" t="s">
        <v>2033</v>
      </c>
      <c r="G519" s="3">
        <v>45122</v>
      </c>
      <c r="H519" s="3">
        <v>45853</v>
      </c>
      <c r="I519" s="5">
        <v>708.46</v>
      </c>
      <c r="J519" t="s">
        <v>23</v>
      </c>
      <c r="K519" t="str">
        <f ca="1">IF(TODAY()&gt;H519,"Expired","Active")</f>
        <v>Expired</v>
      </c>
    </row>
    <row r="520" spans="1:11" x14ac:dyDescent="0.25">
      <c r="A520" t="s">
        <v>2034</v>
      </c>
      <c r="B520" t="s">
        <v>11</v>
      </c>
      <c r="C520" t="s">
        <v>30</v>
      </c>
      <c r="D520" t="s">
        <v>2035</v>
      </c>
      <c r="E520" t="s">
        <v>37</v>
      </c>
      <c r="F520" t="s">
        <v>2036</v>
      </c>
      <c r="G520" s="3">
        <v>45727</v>
      </c>
      <c r="H520" s="3">
        <v>46457</v>
      </c>
      <c r="I520" s="5">
        <v>2493.36</v>
      </c>
      <c r="J520" t="s">
        <v>35</v>
      </c>
      <c r="K520" t="str">
        <f ca="1">IF(TODAY()&gt;H520,"Expired","Active")</f>
        <v>Active</v>
      </c>
    </row>
    <row r="521" spans="1:11" x14ac:dyDescent="0.25">
      <c r="A521" t="s">
        <v>2037</v>
      </c>
      <c r="B521" t="s">
        <v>20</v>
      </c>
      <c r="C521" t="s">
        <v>66</v>
      </c>
      <c r="D521" t="s">
        <v>2038</v>
      </c>
      <c r="E521" t="s">
        <v>32</v>
      </c>
      <c r="F521" t="s">
        <v>2039</v>
      </c>
      <c r="G521" s="3">
        <v>45328</v>
      </c>
      <c r="H521" s="3">
        <v>45694</v>
      </c>
      <c r="I521" s="5">
        <v>1245.94</v>
      </c>
      <c r="J521" t="s">
        <v>35</v>
      </c>
      <c r="K521" t="str">
        <f ca="1">IF(TODAY()&gt;H521,"Expired","Active")</f>
        <v>Expired</v>
      </c>
    </row>
  </sheetData>
  <dataValidations count="3">
    <dataValidation type="list" allowBlank="1" showInputMessage="1" showErrorMessage="1" sqref="B2:B550" xr:uid="{C9B85BAD-2350-4238-9587-98DEF3621518}">
      <formula1>"Laptop,Server,Network Gear,Mobile,Printer,Desktop"</formula1>
    </dataValidation>
    <dataValidation type="list" allowBlank="1" showInputMessage="1" showErrorMessage="1" sqref="E2:E550" xr:uid="{442F6F73-E6AF-4E05-822C-58A8BDA1EE20}">
      <formula1>"Dell Global,HP Inc,Apple Enterprise,Cisco Systems,Lenovo Pro,Fujitsu,Samsung IT"</formula1>
    </dataValidation>
    <dataValidation type="list" allowBlank="1" showInputMessage="1" showErrorMessage="1" sqref="J2:J550" xr:uid="{9C916EA7-5A2C-4F80-8B1F-745AEF760A64}">
      <formula1>"AMER,EMEA,APAC,LATAM"</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AF59-BFAA-4840-AA5C-C12BCCDAFBCE}">
  <sheetPr codeName="Sheet16"/>
  <dimension ref="A1:J381"/>
  <sheetViews>
    <sheetView topLeftCell="A364" workbookViewId="0">
      <selection activeCell="A376" sqref="A376"/>
    </sheetView>
  </sheetViews>
  <sheetFormatPr defaultRowHeight="15" x14ac:dyDescent="0.25"/>
  <cols>
    <col min="1" max="1" width="13.85546875" bestFit="1" customWidth="1"/>
    <col min="2" max="2" width="14.7109375" bestFit="1" customWidth="1"/>
    <col min="3" max="4" width="19.28515625" style="3" bestFit="1" customWidth="1"/>
    <col min="5" max="5" width="15.42578125" bestFit="1" customWidth="1"/>
    <col min="6" max="6" width="11.85546875" bestFit="1" customWidth="1"/>
    <col min="7" max="7" width="22.42578125" bestFit="1" customWidth="1"/>
    <col min="8" max="8" width="15.140625" bestFit="1" customWidth="1"/>
    <col min="9" max="9" width="15.85546875" bestFit="1" customWidth="1"/>
    <col min="10" max="10" width="11.28515625" bestFit="1" customWidth="1"/>
  </cols>
  <sheetData>
    <row r="1" spans="1:10" x14ac:dyDescent="0.25">
      <c r="A1" s="6" t="s">
        <v>146</v>
      </c>
      <c r="B1" s="6" t="s">
        <v>0</v>
      </c>
      <c r="C1" s="7" t="s">
        <v>147</v>
      </c>
      <c r="D1" s="7" t="s">
        <v>148</v>
      </c>
      <c r="E1" s="6" t="s">
        <v>149</v>
      </c>
      <c r="F1" s="6" t="s">
        <v>9</v>
      </c>
      <c r="G1" s="6" t="s">
        <v>150</v>
      </c>
      <c r="H1" s="6" t="s">
        <v>151</v>
      </c>
      <c r="I1" s="6" t="s">
        <v>152</v>
      </c>
      <c r="J1" s="6" t="s">
        <v>153</v>
      </c>
    </row>
    <row r="2" spans="1:10" x14ac:dyDescent="0.25">
      <c r="A2" t="s">
        <v>154</v>
      </c>
      <c r="B2" t="s">
        <v>1476</v>
      </c>
      <c r="C2" s="3">
        <v>46020</v>
      </c>
      <c r="D2" s="3">
        <v>46022</v>
      </c>
      <c r="E2" t="str">
        <f>IFERROR(VLOOKUP(B2,Assets_Master!A:E,5,FALSE),"Unknown")</f>
        <v>Samsung IT</v>
      </c>
      <c r="F2" t="str">
        <f>IFERROR(VLOOKUP(B2,Assets_Master!A:J,10,FALSE),"Unknown")</f>
        <v>APAC</v>
      </c>
      <c r="G2">
        <v>2</v>
      </c>
      <c r="H2">
        <f>IF(AND(C2&lt;&gt;"",D2&lt;&gt;""),NETWORKDAYS(C2,D2),0)</f>
        <v>3</v>
      </c>
      <c r="I2" t="str">
        <f>IF(H2&gt;G2,"YES","NO")</f>
        <v>YES</v>
      </c>
      <c r="J2" t="str">
        <f>TEXT(C2,"mmm-yyyy")</f>
        <v>Dec-2025</v>
      </c>
    </row>
    <row r="3" spans="1:10" x14ac:dyDescent="0.25">
      <c r="A3" t="s">
        <v>155</v>
      </c>
      <c r="B3" t="s">
        <v>1572</v>
      </c>
      <c r="C3" s="3">
        <v>45996</v>
      </c>
      <c r="D3" s="3">
        <v>46001</v>
      </c>
      <c r="E3" t="str">
        <f>IFERROR(VLOOKUP(B3,Assets_Master!A:E,5,FALSE),"Unknown")</f>
        <v>HP Inc</v>
      </c>
      <c r="F3" t="str">
        <f>IFERROR(VLOOKUP(B3,Assets_Master!A:J,10,FALSE),"Unknown")</f>
        <v>APAC</v>
      </c>
      <c r="G3">
        <v>2</v>
      </c>
      <c r="H3">
        <f>IF(AND(C3&lt;&gt;"",D3&lt;&gt;""),NETWORKDAYS(C3,D3),0)</f>
        <v>4</v>
      </c>
      <c r="I3" t="str">
        <f>IF(H3&gt;G3,"YES","NO")</f>
        <v>YES</v>
      </c>
      <c r="J3" t="str">
        <f>TEXT(C3,"mmm-yyyy")</f>
        <v>Dec-2025</v>
      </c>
    </row>
    <row r="4" spans="1:10" x14ac:dyDescent="0.25">
      <c r="A4" t="s">
        <v>156</v>
      </c>
      <c r="B4" t="s">
        <v>1948</v>
      </c>
      <c r="C4" s="3">
        <v>46064</v>
      </c>
      <c r="D4" s="3">
        <v>46067</v>
      </c>
      <c r="E4" t="str">
        <f>IFERROR(VLOOKUP(B4,Assets_Master!A:E,5,FALSE),"Unknown")</f>
        <v>Lenovo Pro</v>
      </c>
      <c r="F4" t="str">
        <f>IFERROR(VLOOKUP(B4,Assets_Master!A:J,10,FALSE),"Unknown")</f>
        <v>AMER</v>
      </c>
      <c r="G4">
        <v>2</v>
      </c>
      <c r="H4">
        <f>IF(AND(C4&lt;&gt;"",D4&lt;&gt;""),NETWORKDAYS(C4,D4),0)</f>
        <v>3</v>
      </c>
      <c r="I4" t="str">
        <f>IF(H4&gt;G4,"YES","NO")</f>
        <v>YES</v>
      </c>
      <c r="J4" t="str">
        <f>TEXT(C4,"mmm-yyyy")</f>
        <v>Feb-2026</v>
      </c>
    </row>
    <row r="5" spans="1:10" x14ac:dyDescent="0.25">
      <c r="A5" t="s">
        <v>157</v>
      </c>
      <c r="B5" t="s">
        <v>1105</v>
      </c>
      <c r="C5" s="3">
        <v>45995</v>
      </c>
      <c r="D5" s="3">
        <v>46000</v>
      </c>
      <c r="E5" t="str">
        <f>IFERROR(VLOOKUP(B5,Assets_Master!A:E,5,FALSE),"Unknown")</f>
        <v>HP Inc</v>
      </c>
      <c r="F5" t="str">
        <f>IFERROR(VLOOKUP(B5,Assets_Master!A:J,10,FALSE),"Unknown")</f>
        <v>LATAM</v>
      </c>
      <c r="G5">
        <v>2</v>
      </c>
      <c r="H5">
        <f>IF(AND(C5&lt;&gt;"",D5&lt;&gt;""),NETWORKDAYS(C5,D5),0)</f>
        <v>4</v>
      </c>
      <c r="I5" t="str">
        <f>IF(H5&gt;G5,"YES","NO")</f>
        <v>YES</v>
      </c>
      <c r="J5" t="str">
        <f>TEXT(C5,"mmm-yyyy")</f>
        <v>Dec-2025</v>
      </c>
    </row>
    <row r="6" spans="1:10" x14ac:dyDescent="0.25">
      <c r="A6" t="s">
        <v>158</v>
      </c>
      <c r="B6" t="s">
        <v>1845</v>
      </c>
      <c r="C6" s="3">
        <v>46035</v>
      </c>
      <c r="D6" s="3">
        <v>46038</v>
      </c>
      <c r="E6" t="str">
        <f>IFERROR(VLOOKUP(B6,Assets_Master!A:E,5,FALSE),"Unknown")</f>
        <v>Cisco Systems</v>
      </c>
      <c r="F6" t="str">
        <f>IFERROR(VLOOKUP(B6,Assets_Master!A:J,10,FALSE),"Unknown")</f>
        <v>LATAM</v>
      </c>
      <c r="G6">
        <v>2</v>
      </c>
      <c r="H6">
        <f>IF(AND(C6&lt;&gt;"",D6&lt;&gt;""),NETWORKDAYS(C6,D6),0)</f>
        <v>4</v>
      </c>
      <c r="I6" t="str">
        <f>IF(H6&gt;G6,"YES","NO")</f>
        <v>YES</v>
      </c>
      <c r="J6" t="str">
        <f>TEXT(C6,"mmm-yyyy")</f>
        <v>Jan-2026</v>
      </c>
    </row>
    <row r="7" spans="1:10" x14ac:dyDescent="0.25">
      <c r="A7" t="s">
        <v>159</v>
      </c>
      <c r="B7" t="s">
        <v>1648</v>
      </c>
      <c r="C7" s="3">
        <v>45981</v>
      </c>
      <c r="D7" s="3">
        <v>45983</v>
      </c>
      <c r="E7" t="str">
        <f>IFERROR(VLOOKUP(B7,Assets_Master!A:E,5,FALSE),"Unknown")</f>
        <v>Apple Enterprise</v>
      </c>
      <c r="F7" t="str">
        <f>IFERROR(VLOOKUP(B7,Assets_Master!A:J,10,FALSE),"Unknown")</f>
        <v>AMER</v>
      </c>
      <c r="G7">
        <v>2</v>
      </c>
      <c r="H7">
        <f>IF(AND(C7&lt;&gt;"",D7&lt;&gt;""),NETWORKDAYS(C7,D7),0)</f>
        <v>2</v>
      </c>
      <c r="I7" t="str">
        <f>IF(H7&gt;G7,"YES","NO")</f>
        <v>NO</v>
      </c>
      <c r="J7" t="str">
        <f>TEXT(C7,"mmm-yyyy")</f>
        <v>Nov-2025</v>
      </c>
    </row>
    <row r="8" spans="1:10" x14ac:dyDescent="0.25">
      <c r="A8" t="s">
        <v>160</v>
      </c>
      <c r="B8" t="s">
        <v>1432</v>
      </c>
      <c r="C8" s="3">
        <v>46020</v>
      </c>
      <c r="D8" s="3">
        <v>46024</v>
      </c>
      <c r="E8" t="str">
        <f>IFERROR(VLOOKUP(B8,Assets_Master!A:E,5,FALSE),"Unknown")</f>
        <v>Lenovo Pro</v>
      </c>
      <c r="F8" t="str">
        <f>IFERROR(VLOOKUP(B8,Assets_Master!A:J,10,FALSE),"Unknown")</f>
        <v>EMEA</v>
      </c>
      <c r="G8">
        <v>2</v>
      </c>
      <c r="H8">
        <f>IF(AND(C8&lt;&gt;"",D8&lt;&gt;""),NETWORKDAYS(C8,D8),0)</f>
        <v>5</v>
      </c>
      <c r="I8" t="str">
        <f>IF(H8&gt;G8,"YES","NO")</f>
        <v>YES</v>
      </c>
      <c r="J8" t="str">
        <f>TEXT(C8,"mmm-yyyy")</f>
        <v>Dec-2025</v>
      </c>
    </row>
    <row r="9" spans="1:10" x14ac:dyDescent="0.25">
      <c r="A9" t="s">
        <v>161</v>
      </c>
      <c r="B9" t="s">
        <v>1481</v>
      </c>
      <c r="C9" s="3">
        <v>46049</v>
      </c>
      <c r="D9" s="3">
        <v>46053</v>
      </c>
      <c r="E9" t="str">
        <f>IFERROR(VLOOKUP(B9,Assets_Master!A:E,5,FALSE),"Unknown")</f>
        <v>Dell Global</v>
      </c>
      <c r="F9" t="str">
        <f>IFERROR(VLOOKUP(B9,Assets_Master!A:J,10,FALSE),"Unknown")</f>
        <v>LATAM</v>
      </c>
      <c r="G9">
        <v>2</v>
      </c>
      <c r="H9">
        <f>IF(AND(C9&lt;&gt;"",D9&lt;&gt;""),NETWORKDAYS(C9,D9),0)</f>
        <v>4</v>
      </c>
      <c r="I9" t="str">
        <f>IF(H9&gt;G9,"YES","NO")</f>
        <v>YES</v>
      </c>
      <c r="J9" t="str">
        <f>TEXT(C9,"mmm-yyyy")</f>
        <v>Jan-2026</v>
      </c>
    </row>
    <row r="10" spans="1:10" x14ac:dyDescent="0.25">
      <c r="A10" t="s">
        <v>162</v>
      </c>
      <c r="B10" t="s">
        <v>1956</v>
      </c>
      <c r="C10" s="3">
        <v>45980</v>
      </c>
      <c r="D10" s="3">
        <v>45985</v>
      </c>
      <c r="E10" t="str">
        <f>IFERROR(VLOOKUP(B10,Assets_Master!A:E,5,FALSE),"Unknown")</f>
        <v>Lenovo Pro</v>
      </c>
      <c r="F10" t="str">
        <f>IFERROR(VLOOKUP(B10,Assets_Master!A:J,10,FALSE),"Unknown")</f>
        <v>EMEA</v>
      </c>
      <c r="G10">
        <v>2</v>
      </c>
      <c r="H10">
        <f>IF(AND(C10&lt;&gt;"",D10&lt;&gt;""),NETWORKDAYS(C10,D10),0)</f>
        <v>4</v>
      </c>
      <c r="I10" t="str">
        <f>IF(H10&gt;G10,"YES","NO")</f>
        <v>YES</v>
      </c>
      <c r="J10" t="str">
        <f>TEXT(C10,"mmm-yyyy")</f>
        <v>Nov-2025</v>
      </c>
    </row>
    <row r="11" spans="1:10" x14ac:dyDescent="0.25">
      <c r="A11" t="s">
        <v>163</v>
      </c>
      <c r="B11" t="s">
        <v>1704</v>
      </c>
      <c r="C11" s="3">
        <v>46054</v>
      </c>
      <c r="D11" s="3">
        <v>46057</v>
      </c>
      <c r="E11" t="str">
        <f>IFERROR(VLOOKUP(B11,Assets_Master!A:E,5,FALSE),"Unknown")</f>
        <v>Fujitsu</v>
      </c>
      <c r="F11" t="str">
        <f>IFERROR(VLOOKUP(B11,Assets_Master!A:J,10,FALSE),"Unknown")</f>
        <v>APAC</v>
      </c>
      <c r="G11">
        <v>2</v>
      </c>
      <c r="H11">
        <f>IF(AND(C11&lt;&gt;"",D11&lt;&gt;""),NETWORKDAYS(C11,D11),0)</f>
        <v>3</v>
      </c>
      <c r="I11" t="str">
        <f>IF(H11&gt;G11,"YES","NO")</f>
        <v>YES</v>
      </c>
      <c r="J11" t="str">
        <f>TEXT(C11,"mmm-yyyy")</f>
        <v>Feb-2026</v>
      </c>
    </row>
    <row r="12" spans="1:10" x14ac:dyDescent="0.25">
      <c r="A12" t="s">
        <v>164</v>
      </c>
      <c r="B12" t="s">
        <v>1075</v>
      </c>
      <c r="C12" s="3">
        <v>46067</v>
      </c>
      <c r="D12" s="3">
        <v>46072</v>
      </c>
      <c r="E12" t="str">
        <f>IFERROR(VLOOKUP(B12,Assets_Master!A:E,5,FALSE),"Unknown")</f>
        <v>Apple Enterprise</v>
      </c>
      <c r="F12" t="str">
        <f>IFERROR(VLOOKUP(B12,Assets_Master!A:J,10,FALSE),"Unknown")</f>
        <v>APAC</v>
      </c>
      <c r="G12">
        <v>2</v>
      </c>
      <c r="H12">
        <f>IF(AND(C12&lt;&gt;"",D12&lt;&gt;""),NETWORKDAYS(C12,D12),0)</f>
        <v>4</v>
      </c>
      <c r="I12" t="str">
        <f>IF(H12&gt;G12,"YES","NO")</f>
        <v>YES</v>
      </c>
      <c r="J12" t="str">
        <f>TEXT(C12,"mmm-yyyy")</f>
        <v>Feb-2026</v>
      </c>
    </row>
    <row r="13" spans="1:10" x14ac:dyDescent="0.25">
      <c r="A13" t="s">
        <v>165</v>
      </c>
      <c r="B13" t="s">
        <v>1376</v>
      </c>
      <c r="C13" s="3">
        <v>46056</v>
      </c>
      <c r="D13" s="3">
        <v>46060</v>
      </c>
      <c r="E13" t="str">
        <f>IFERROR(VLOOKUP(B13,Assets_Master!A:E,5,FALSE),"Unknown")</f>
        <v>Lenovo Pro</v>
      </c>
      <c r="F13" t="str">
        <f>IFERROR(VLOOKUP(B13,Assets_Master!A:J,10,FALSE),"Unknown")</f>
        <v>AMER</v>
      </c>
      <c r="G13">
        <v>2</v>
      </c>
      <c r="H13">
        <f>IF(AND(C13&lt;&gt;"",D13&lt;&gt;""),NETWORKDAYS(C13,D13),0)</f>
        <v>4</v>
      </c>
      <c r="I13" t="str">
        <f>IF(H13&gt;G13,"YES","NO")</f>
        <v>YES</v>
      </c>
      <c r="J13" t="str">
        <f>TEXT(C13,"mmm-yyyy")</f>
        <v>Feb-2026</v>
      </c>
    </row>
    <row r="14" spans="1:10" x14ac:dyDescent="0.25">
      <c r="A14" t="s">
        <v>166</v>
      </c>
      <c r="B14" t="s">
        <v>669</v>
      </c>
      <c r="C14" s="3">
        <v>46043</v>
      </c>
      <c r="D14" s="3">
        <v>46045</v>
      </c>
      <c r="E14" t="str">
        <f>IFERROR(VLOOKUP(B14,Assets_Master!A:E,5,FALSE),"Unknown")</f>
        <v>Lenovo Pro</v>
      </c>
      <c r="F14" t="str">
        <f>IFERROR(VLOOKUP(B14,Assets_Master!A:J,10,FALSE),"Unknown")</f>
        <v>AMER</v>
      </c>
      <c r="G14">
        <v>2</v>
      </c>
      <c r="H14">
        <f>IF(AND(C14&lt;&gt;"",D14&lt;&gt;""),NETWORKDAYS(C14,D14),0)</f>
        <v>3</v>
      </c>
      <c r="I14" t="str">
        <f>IF(H14&gt;G14,"YES","NO")</f>
        <v>YES</v>
      </c>
      <c r="J14" t="str">
        <f>TEXT(C14,"mmm-yyyy")</f>
        <v>Jan-2026</v>
      </c>
    </row>
    <row r="15" spans="1:10" x14ac:dyDescent="0.25">
      <c r="A15" t="s">
        <v>167</v>
      </c>
      <c r="B15" t="s">
        <v>639</v>
      </c>
      <c r="C15" s="3">
        <v>46023</v>
      </c>
      <c r="D15" s="3">
        <v>46027</v>
      </c>
      <c r="E15" t="str">
        <f>IFERROR(VLOOKUP(B15,Assets_Master!A:E,5,FALSE),"Unknown")</f>
        <v>Dell Global</v>
      </c>
      <c r="F15" t="str">
        <f>IFERROR(VLOOKUP(B15,Assets_Master!A:J,10,FALSE),"Unknown")</f>
        <v>LATAM</v>
      </c>
      <c r="G15">
        <v>2</v>
      </c>
      <c r="H15">
        <f>IF(AND(C15&lt;&gt;"",D15&lt;&gt;""),NETWORKDAYS(C15,D15),0)</f>
        <v>3</v>
      </c>
      <c r="I15" t="str">
        <f>IF(H15&gt;G15,"YES","NO")</f>
        <v>YES</v>
      </c>
      <c r="J15" t="str">
        <f>TEXT(C15,"mmm-yyyy")</f>
        <v>Jan-2026</v>
      </c>
    </row>
    <row r="16" spans="1:10" x14ac:dyDescent="0.25">
      <c r="A16" t="s">
        <v>168</v>
      </c>
      <c r="B16" t="s">
        <v>1265</v>
      </c>
      <c r="C16" s="3">
        <v>46020</v>
      </c>
      <c r="D16" s="3">
        <v>46022</v>
      </c>
      <c r="E16" t="str">
        <f>IFERROR(VLOOKUP(B16,Assets_Master!A:E,5,FALSE),"Unknown")</f>
        <v>HP Inc</v>
      </c>
      <c r="F16" t="str">
        <f>IFERROR(VLOOKUP(B16,Assets_Master!A:J,10,FALSE),"Unknown")</f>
        <v>AMER</v>
      </c>
      <c r="G16">
        <v>2</v>
      </c>
      <c r="H16">
        <f>IF(AND(C16&lt;&gt;"",D16&lt;&gt;""),NETWORKDAYS(C16,D16),0)</f>
        <v>3</v>
      </c>
      <c r="I16" t="str">
        <f>IF(H16&gt;G16,"YES","NO")</f>
        <v>YES</v>
      </c>
      <c r="J16" t="str">
        <f>TEXT(C16,"mmm-yyyy")</f>
        <v>Dec-2025</v>
      </c>
    </row>
    <row r="17" spans="1:10" x14ac:dyDescent="0.25">
      <c r="A17" t="s">
        <v>169</v>
      </c>
      <c r="B17" t="s">
        <v>1338</v>
      </c>
      <c r="C17" s="3">
        <v>46062</v>
      </c>
      <c r="D17" s="3">
        <v>46064</v>
      </c>
      <c r="E17" t="str">
        <f>IFERROR(VLOOKUP(B17,Assets_Master!A:E,5,FALSE),"Unknown")</f>
        <v>HP Inc</v>
      </c>
      <c r="F17" t="str">
        <f>IFERROR(VLOOKUP(B17,Assets_Master!A:J,10,FALSE),"Unknown")</f>
        <v>APAC</v>
      </c>
      <c r="G17">
        <v>2</v>
      </c>
      <c r="H17">
        <f>IF(AND(C17&lt;&gt;"",D17&lt;&gt;""),NETWORKDAYS(C17,D17),0)</f>
        <v>3</v>
      </c>
      <c r="I17" t="str">
        <f>IF(H17&gt;G17,"YES","NO")</f>
        <v>YES</v>
      </c>
      <c r="J17" t="str">
        <f>TEXT(C17,"mmm-yyyy")</f>
        <v>Feb-2026</v>
      </c>
    </row>
    <row r="18" spans="1:10" x14ac:dyDescent="0.25">
      <c r="A18" t="s">
        <v>170</v>
      </c>
      <c r="B18" t="s">
        <v>1667</v>
      </c>
      <c r="C18" s="3">
        <v>46003</v>
      </c>
      <c r="D18" s="3">
        <v>46008</v>
      </c>
      <c r="E18" t="str">
        <f>IFERROR(VLOOKUP(B18,Assets_Master!A:E,5,FALSE),"Unknown")</f>
        <v>Fujitsu</v>
      </c>
      <c r="F18" t="str">
        <f>IFERROR(VLOOKUP(B18,Assets_Master!A:J,10,FALSE),"Unknown")</f>
        <v>LATAM</v>
      </c>
      <c r="G18">
        <v>2</v>
      </c>
      <c r="H18">
        <f>IF(AND(C18&lt;&gt;"",D18&lt;&gt;""),NETWORKDAYS(C18,D18),0)</f>
        <v>4</v>
      </c>
      <c r="I18" t="str">
        <f>IF(H18&gt;G18,"YES","NO")</f>
        <v>YES</v>
      </c>
      <c r="J18" t="str">
        <f>TEXT(C18,"mmm-yyyy")</f>
        <v>Dec-2025</v>
      </c>
    </row>
    <row r="19" spans="1:10" x14ac:dyDescent="0.25">
      <c r="A19" t="s">
        <v>171</v>
      </c>
      <c r="B19" t="s">
        <v>669</v>
      </c>
      <c r="C19" s="3">
        <v>46000</v>
      </c>
      <c r="D19" s="3">
        <v>46002</v>
      </c>
      <c r="E19" t="str">
        <f>IFERROR(VLOOKUP(B19,Assets_Master!A:E,5,FALSE),"Unknown")</f>
        <v>Lenovo Pro</v>
      </c>
      <c r="F19" t="str">
        <f>IFERROR(VLOOKUP(B19,Assets_Master!A:J,10,FALSE),"Unknown")</f>
        <v>AMER</v>
      </c>
      <c r="G19">
        <v>2</v>
      </c>
      <c r="H19">
        <f>IF(AND(C19&lt;&gt;"",D19&lt;&gt;""),NETWORKDAYS(C19,D19),0)</f>
        <v>3</v>
      </c>
      <c r="I19" t="str">
        <f>IF(H19&gt;G19,"YES","NO")</f>
        <v>YES</v>
      </c>
      <c r="J19" t="str">
        <f>TEXT(C19,"mmm-yyyy")</f>
        <v>Dec-2025</v>
      </c>
    </row>
    <row r="20" spans="1:10" x14ac:dyDescent="0.25">
      <c r="A20" t="s">
        <v>172</v>
      </c>
      <c r="B20" t="s">
        <v>1204</v>
      </c>
      <c r="C20" s="3">
        <v>45996</v>
      </c>
      <c r="D20" s="3">
        <v>46000</v>
      </c>
      <c r="E20" t="str">
        <f>IFERROR(VLOOKUP(B20,Assets_Master!A:E,5,FALSE),"Unknown")</f>
        <v>Dell Global</v>
      </c>
      <c r="F20" t="str">
        <f>IFERROR(VLOOKUP(B20,Assets_Master!A:J,10,FALSE),"Unknown")</f>
        <v>AMER</v>
      </c>
      <c r="G20">
        <v>2</v>
      </c>
      <c r="H20">
        <f>IF(AND(C20&lt;&gt;"",D20&lt;&gt;""),NETWORKDAYS(C20,D20),0)</f>
        <v>3</v>
      </c>
      <c r="I20" t="str">
        <f>IF(H20&gt;G20,"YES","NO")</f>
        <v>YES</v>
      </c>
      <c r="J20" t="str">
        <f>TEXT(C20,"mmm-yyyy")</f>
        <v>Dec-2025</v>
      </c>
    </row>
    <row r="21" spans="1:10" x14ac:dyDescent="0.25">
      <c r="A21" t="s">
        <v>173</v>
      </c>
      <c r="B21" t="s">
        <v>100</v>
      </c>
      <c r="C21" s="3">
        <v>46007</v>
      </c>
      <c r="D21" s="3">
        <v>46012</v>
      </c>
      <c r="E21" t="str">
        <f>IFERROR(VLOOKUP(B21,Assets_Master!A:E,5,FALSE),"Unknown")</f>
        <v>Samsung IT</v>
      </c>
      <c r="F21" t="str">
        <f>IFERROR(VLOOKUP(B21,Assets_Master!A:J,10,FALSE),"Unknown")</f>
        <v>APAC</v>
      </c>
      <c r="G21">
        <v>2</v>
      </c>
      <c r="H21">
        <f>IF(AND(C21&lt;&gt;"",D21&lt;&gt;""),NETWORKDAYS(C21,D21),0)</f>
        <v>4</v>
      </c>
      <c r="I21" t="str">
        <f>IF(H21&gt;G21,"YES","NO")</f>
        <v>YES</v>
      </c>
      <c r="J21" t="str">
        <f>TEXT(C21,"mmm-yyyy")</f>
        <v>Dec-2025</v>
      </c>
    </row>
    <row r="22" spans="1:10" x14ac:dyDescent="0.25">
      <c r="A22" t="s">
        <v>174</v>
      </c>
      <c r="B22" t="s">
        <v>1469</v>
      </c>
      <c r="C22" s="3">
        <v>46043</v>
      </c>
      <c r="D22" s="3">
        <v>46046</v>
      </c>
      <c r="E22" t="str">
        <f>IFERROR(VLOOKUP(B22,Assets_Master!A:E,5,FALSE),"Unknown")</f>
        <v>Cisco Systems</v>
      </c>
      <c r="F22" t="str">
        <f>IFERROR(VLOOKUP(B22,Assets_Master!A:J,10,FALSE),"Unknown")</f>
        <v>LATAM</v>
      </c>
      <c r="G22">
        <v>2</v>
      </c>
      <c r="H22">
        <f>IF(AND(C22&lt;&gt;"",D22&lt;&gt;""),NETWORKDAYS(C22,D22),0)</f>
        <v>3</v>
      </c>
      <c r="I22" t="str">
        <f>IF(H22&gt;G22,"YES","NO")</f>
        <v>YES</v>
      </c>
      <c r="J22" t="str">
        <f>TEXT(C22,"mmm-yyyy")</f>
        <v>Jan-2026</v>
      </c>
    </row>
    <row r="23" spans="1:10" x14ac:dyDescent="0.25">
      <c r="A23" t="s">
        <v>175</v>
      </c>
      <c r="B23" t="s">
        <v>1899</v>
      </c>
      <c r="C23" s="3">
        <v>46023</v>
      </c>
      <c r="D23" s="3">
        <v>46026</v>
      </c>
      <c r="E23" t="str">
        <f>IFERROR(VLOOKUP(B23,Assets_Master!A:E,5,FALSE),"Unknown")</f>
        <v>Dell Global</v>
      </c>
      <c r="F23" t="str">
        <f>IFERROR(VLOOKUP(B23,Assets_Master!A:J,10,FALSE),"Unknown")</f>
        <v>AMER</v>
      </c>
      <c r="G23">
        <v>2</v>
      </c>
      <c r="H23">
        <f>IF(AND(C23&lt;&gt;"",D23&lt;&gt;""),NETWORKDAYS(C23,D23),0)</f>
        <v>2</v>
      </c>
      <c r="I23" t="str">
        <f>IF(H23&gt;G23,"YES","NO")</f>
        <v>NO</v>
      </c>
      <c r="J23" t="str">
        <f>TEXT(C23,"mmm-yyyy")</f>
        <v>Jan-2026</v>
      </c>
    </row>
    <row r="24" spans="1:10" x14ac:dyDescent="0.25">
      <c r="A24" t="s">
        <v>176</v>
      </c>
      <c r="B24" t="s">
        <v>1618</v>
      </c>
      <c r="C24" s="3">
        <v>46054</v>
      </c>
      <c r="D24" s="3">
        <v>46058</v>
      </c>
      <c r="E24" t="str">
        <f>IFERROR(VLOOKUP(B24,Assets_Master!A:E,5,FALSE),"Unknown")</f>
        <v>Samsung IT</v>
      </c>
      <c r="F24" t="str">
        <f>IFERROR(VLOOKUP(B24,Assets_Master!A:J,10,FALSE),"Unknown")</f>
        <v>LATAM</v>
      </c>
      <c r="G24">
        <v>2</v>
      </c>
      <c r="H24">
        <f>IF(AND(C24&lt;&gt;"",D24&lt;&gt;""),NETWORKDAYS(C24,D24),0)</f>
        <v>4</v>
      </c>
      <c r="I24" t="str">
        <f>IF(H24&gt;G24,"YES","NO")</f>
        <v>YES</v>
      </c>
      <c r="J24" t="str">
        <f>TEXT(C24,"mmm-yyyy")</f>
        <v>Feb-2026</v>
      </c>
    </row>
    <row r="25" spans="1:10" x14ac:dyDescent="0.25">
      <c r="A25" t="s">
        <v>177</v>
      </c>
      <c r="B25" t="s">
        <v>1481</v>
      </c>
      <c r="C25" s="3">
        <v>46014</v>
      </c>
      <c r="D25" s="3">
        <v>46017</v>
      </c>
      <c r="E25" t="str">
        <f>IFERROR(VLOOKUP(B25,Assets_Master!A:E,5,FALSE),"Unknown")</f>
        <v>Dell Global</v>
      </c>
      <c r="F25" t="str">
        <f>IFERROR(VLOOKUP(B25,Assets_Master!A:J,10,FALSE),"Unknown")</f>
        <v>LATAM</v>
      </c>
      <c r="G25">
        <v>2</v>
      </c>
      <c r="H25">
        <f>IF(AND(C25&lt;&gt;"",D25&lt;&gt;""),NETWORKDAYS(C25,D25),0)</f>
        <v>4</v>
      </c>
      <c r="I25" t="str">
        <f>IF(H25&gt;G25,"YES","NO")</f>
        <v>YES</v>
      </c>
      <c r="J25" t="str">
        <f>TEXT(C25,"mmm-yyyy")</f>
        <v>Dec-2025</v>
      </c>
    </row>
    <row r="26" spans="1:10" x14ac:dyDescent="0.25">
      <c r="A26" t="s">
        <v>178</v>
      </c>
      <c r="B26" t="s">
        <v>1381</v>
      </c>
      <c r="C26" s="3">
        <v>46015</v>
      </c>
      <c r="D26" s="3">
        <v>46020</v>
      </c>
      <c r="E26" t="str">
        <f>IFERROR(VLOOKUP(B26,Assets_Master!A:E,5,FALSE),"Unknown")</f>
        <v>Lenovo Pro</v>
      </c>
      <c r="F26" t="str">
        <f>IFERROR(VLOOKUP(B26,Assets_Master!A:J,10,FALSE),"Unknown")</f>
        <v>APAC</v>
      </c>
      <c r="G26">
        <v>2</v>
      </c>
      <c r="H26">
        <f>IF(AND(C26&lt;&gt;"",D26&lt;&gt;""),NETWORKDAYS(C26,D26),0)</f>
        <v>4</v>
      </c>
      <c r="I26" t="str">
        <f>IF(H26&gt;G26,"YES","NO")</f>
        <v>YES</v>
      </c>
      <c r="J26" t="str">
        <f>TEXT(C26,"mmm-yyyy")</f>
        <v>Dec-2025</v>
      </c>
    </row>
    <row r="27" spans="1:10" x14ac:dyDescent="0.25">
      <c r="A27" t="s">
        <v>179</v>
      </c>
      <c r="B27" t="s">
        <v>1983</v>
      </c>
      <c r="C27" s="3">
        <v>46027</v>
      </c>
      <c r="D27" s="3">
        <v>46032</v>
      </c>
      <c r="E27" t="str">
        <f>IFERROR(VLOOKUP(B27,Assets_Master!A:E,5,FALSE),"Unknown")</f>
        <v>Cisco Systems</v>
      </c>
      <c r="F27" t="str">
        <f>IFERROR(VLOOKUP(B27,Assets_Master!A:J,10,FALSE),"Unknown")</f>
        <v>EMEA</v>
      </c>
      <c r="G27">
        <v>2</v>
      </c>
      <c r="H27">
        <f>IF(AND(C27&lt;&gt;"",D27&lt;&gt;""),NETWORKDAYS(C27,D27),0)</f>
        <v>5</v>
      </c>
      <c r="I27" t="str">
        <f>IF(H27&gt;G27,"YES","NO")</f>
        <v>YES</v>
      </c>
      <c r="J27" t="str">
        <f>TEXT(C27,"mmm-yyyy")</f>
        <v>Jan-2026</v>
      </c>
    </row>
    <row r="28" spans="1:10" x14ac:dyDescent="0.25">
      <c r="A28" t="s">
        <v>180</v>
      </c>
      <c r="B28" t="s">
        <v>73</v>
      </c>
      <c r="C28" s="3">
        <v>45987</v>
      </c>
      <c r="D28" s="3">
        <v>45989</v>
      </c>
      <c r="E28" t="str">
        <f>IFERROR(VLOOKUP(B28,Assets_Master!A:E,5,FALSE),"Unknown")</f>
        <v>Lenovo Pro</v>
      </c>
      <c r="F28" t="str">
        <f>IFERROR(VLOOKUP(B28,Assets_Master!A:J,10,FALSE),"Unknown")</f>
        <v>APAC</v>
      </c>
      <c r="G28">
        <v>2</v>
      </c>
      <c r="H28">
        <f>IF(AND(C28&lt;&gt;"",D28&lt;&gt;""),NETWORKDAYS(C28,D28),0)</f>
        <v>3</v>
      </c>
      <c r="I28" t="str">
        <f>IF(H28&gt;G28,"YES","NO")</f>
        <v>YES</v>
      </c>
      <c r="J28" t="str">
        <f>TEXT(C28,"mmm-yyyy")</f>
        <v>Nov-2025</v>
      </c>
    </row>
    <row r="29" spans="1:10" x14ac:dyDescent="0.25">
      <c r="A29" t="s">
        <v>181</v>
      </c>
      <c r="B29" t="s">
        <v>1321</v>
      </c>
      <c r="C29" s="3">
        <v>46035</v>
      </c>
      <c r="D29" s="3">
        <v>46039</v>
      </c>
      <c r="E29" t="str">
        <f>IFERROR(VLOOKUP(B29,Assets_Master!A:E,5,FALSE),"Unknown")</f>
        <v>Apple Enterprise</v>
      </c>
      <c r="F29" t="str">
        <f>IFERROR(VLOOKUP(B29,Assets_Master!A:J,10,FALSE),"Unknown")</f>
        <v>AMER</v>
      </c>
      <c r="G29">
        <v>2</v>
      </c>
      <c r="H29">
        <f>IF(AND(C29&lt;&gt;"",D29&lt;&gt;""),NETWORKDAYS(C29,D29),0)</f>
        <v>4</v>
      </c>
      <c r="I29" t="str">
        <f>IF(H29&gt;G29,"YES","NO")</f>
        <v>YES</v>
      </c>
      <c r="J29" t="str">
        <f>TEXT(C29,"mmm-yyyy")</f>
        <v>Jan-2026</v>
      </c>
    </row>
    <row r="30" spans="1:10" x14ac:dyDescent="0.25">
      <c r="A30" t="s">
        <v>182</v>
      </c>
      <c r="B30" t="s">
        <v>122</v>
      </c>
      <c r="C30" s="3">
        <v>46037</v>
      </c>
      <c r="D30" s="3">
        <v>46042</v>
      </c>
      <c r="E30" t="str">
        <f>IFERROR(VLOOKUP(B30,Assets_Master!A:E,5,FALSE),"Unknown")</f>
        <v>Apple Enterprise</v>
      </c>
      <c r="F30" t="str">
        <f>IFERROR(VLOOKUP(B30,Assets_Master!A:J,10,FALSE),"Unknown")</f>
        <v>LATAM</v>
      </c>
      <c r="G30">
        <v>2</v>
      </c>
      <c r="H30">
        <f>IF(AND(C30&lt;&gt;"",D30&lt;&gt;""),NETWORKDAYS(C30,D30),0)</f>
        <v>4</v>
      </c>
      <c r="I30" t="str">
        <f>IF(H30&gt;G30,"YES","NO")</f>
        <v>YES</v>
      </c>
      <c r="J30" t="str">
        <f>TEXT(C30,"mmm-yyyy")</f>
        <v>Jan-2026</v>
      </c>
    </row>
    <row r="31" spans="1:10" x14ac:dyDescent="0.25">
      <c r="A31" t="s">
        <v>183</v>
      </c>
      <c r="B31" t="s">
        <v>94</v>
      </c>
      <c r="C31" s="3">
        <v>46057</v>
      </c>
      <c r="D31" s="3">
        <v>46060</v>
      </c>
      <c r="E31" t="str">
        <f>IFERROR(VLOOKUP(B31,Assets_Master!A:E,5,FALSE),"Unknown")</f>
        <v>Fujitsu</v>
      </c>
      <c r="F31" t="str">
        <f>IFERROR(VLOOKUP(B31,Assets_Master!A:J,10,FALSE),"Unknown")</f>
        <v>APAC</v>
      </c>
      <c r="G31">
        <v>2</v>
      </c>
      <c r="H31">
        <f>IF(AND(C31&lt;&gt;"",D31&lt;&gt;""),NETWORKDAYS(C31,D31),0)</f>
        <v>3</v>
      </c>
      <c r="I31" t="str">
        <f>IF(H31&gt;G31,"YES","NO")</f>
        <v>YES</v>
      </c>
      <c r="J31" t="str">
        <f>TEXT(C31,"mmm-yyyy")</f>
        <v>Feb-2026</v>
      </c>
    </row>
    <row r="32" spans="1:10" x14ac:dyDescent="0.25">
      <c r="A32" t="s">
        <v>184</v>
      </c>
      <c r="B32" t="s">
        <v>1588</v>
      </c>
      <c r="C32" s="3">
        <v>45989</v>
      </c>
      <c r="D32" s="3">
        <v>45994</v>
      </c>
      <c r="E32" t="str">
        <f>IFERROR(VLOOKUP(B32,Assets_Master!A:E,5,FALSE),"Unknown")</f>
        <v>Lenovo Pro</v>
      </c>
      <c r="F32" t="str">
        <f>IFERROR(VLOOKUP(B32,Assets_Master!A:J,10,FALSE),"Unknown")</f>
        <v>APAC</v>
      </c>
      <c r="G32">
        <v>2</v>
      </c>
      <c r="H32">
        <f>IF(AND(C32&lt;&gt;"",D32&lt;&gt;""),NETWORKDAYS(C32,D32),0)</f>
        <v>4</v>
      </c>
      <c r="I32" t="str">
        <f>IF(H32&gt;G32,"YES","NO")</f>
        <v>YES</v>
      </c>
      <c r="J32" t="str">
        <f>TEXT(C32,"mmm-yyyy")</f>
        <v>Nov-2025</v>
      </c>
    </row>
    <row r="33" spans="1:10" x14ac:dyDescent="0.25">
      <c r="A33" t="s">
        <v>185</v>
      </c>
      <c r="B33" t="s">
        <v>1316</v>
      </c>
      <c r="C33" s="3">
        <v>46008</v>
      </c>
      <c r="D33" s="3">
        <v>46012</v>
      </c>
      <c r="E33" t="str">
        <f>IFERROR(VLOOKUP(B33,Assets_Master!A:E,5,FALSE),"Unknown")</f>
        <v>Lenovo Pro</v>
      </c>
      <c r="F33" t="str">
        <f>IFERROR(VLOOKUP(B33,Assets_Master!A:J,10,FALSE),"Unknown")</f>
        <v>APAC</v>
      </c>
      <c r="G33">
        <v>2</v>
      </c>
      <c r="H33">
        <f>IF(AND(C33&lt;&gt;"",D33&lt;&gt;""),NETWORKDAYS(C33,D33),0)</f>
        <v>3</v>
      </c>
      <c r="I33" t="str">
        <f>IF(H33&gt;G33,"YES","NO")</f>
        <v>YES</v>
      </c>
      <c r="J33" t="str">
        <f>TEXT(C33,"mmm-yyyy")</f>
        <v>Dec-2025</v>
      </c>
    </row>
    <row r="34" spans="1:10" x14ac:dyDescent="0.25">
      <c r="A34" t="s">
        <v>186</v>
      </c>
      <c r="B34" t="s">
        <v>685</v>
      </c>
      <c r="C34" s="3">
        <v>45978</v>
      </c>
      <c r="D34" s="3">
        <v>45981</v>
      </c>
      <c r="E34" t="str">
        <f>IFERROR(VLOOKUP(B34,Assets_Master!A:E,5,FALSE),"Unknown")</f>
        <v>Apple Enterprise</v>
      </c>
      <c r="F34" t="str">
        <f>IFERROR(VLOOKUP(B34,Assets_Master!A:J,10,FALSE),"Unknown")</f>
        <v>LATAM</v>
      </c>
      <c r="G34">
        <v>2</v>
      </c>
      <c r="H34">
        <f>IF(AND(C34&lt;&gt;"",D34&lt;&gt;""),NETWORKDAYS(C34,D34),0)</f>
        <v>4</v>
      </c>
      <c r="I34" t="str">
        <f>IF(H34&gt;G34,"YES","NO")</f>
        <v>YES</v>
      </c>
      <c r="J34" t="str">
        <f>TEXT(C34,"mmm-yyyy")</f>
        <v>Nov-2025</v>
      </c>
    </row>
    <row r="35" spans="1:10" x14ac:dyDescent="0.25">
      <c r="A35" t="s">
        <v>187</v>
      </c>
      <c r="B35" t="s">
        <v>1133</v>
      </c>
      <c r="C35" s="3">
        <v>46017</v>
      </c>
      <c r="D35" s="3">
        <v>46019</v>
      </c>
      <c r="E35" t="str">
        <f>IFERROR(VLOOKUP(B35,Assets_Master!A:E,5,FALSE),"Unknown")</f>
        <v>Dell Global</v>
      </c>
      <c r="F35" t="str">
        <f>IFERROR(VLOOKUP(B35,Assets_Master!A:J,10,FALSE),"Unknown")</f>
        <v>APAC</v>
      </c>
      <c r="G35">
        <v>2</v>
      </c>
      <c r="H35">
        <f>IF(AND(C35&lt;&gt;"",D35&lt;&gt;""),NETWORKDAYS(C35,D35),0)</f>
        <v>1</v>
      </c>
      <c r="I35" t="str">
        <f>IF(H35&gt;G35,"YES","NO")</f>
        <v>NO</v>
      </c>
      <c r="J35" t="str">
        <f>TEXT(C35,"mmm-yyyy")</f>
        <v>Dec-2025</v>
      </c>
    </row>
    <row r="36" spans="1:10" x14ac:dyDescent="0.25">
      <c r="A36" t="s">
        <v>188</v>
      </c>
      <c r="B36" t="s">
        <v>1105</v>
      </c>
      <c r="C36" s="3">
        <v>46049</v>
      </c>
      <c r="D36" s="3">
        <v>46054</v>
      </c>
      <c r="E36" t="str">
        <f>IFERROR(VLOOKUP(B36,Assets_Master!A:E,5,FALSE),"Unknown")</f>
        <v>HP Inc</v>
      </c>
      <c r="F36" t="str">
        <f>IFERROR(VLOOKUP(B36,Assets_Master!A:J,10,FALSE),"Unknown")</f>
        <v>LATAM</v>
      </c>
      <c r="G36">
        <v>2</v>
      </c>
      <c r="H36">
        <f>IF(AND(C36&lt;&gt;"",D36&lt;&gt;""),NETWORKDAYS(C36,D36),0)</f>
        <v>4</v>
      </c>
      <c r="I36" t="str">
        <f>IF(H36&gt;G36,"YES","NO")</f>
        <v>YES</v>
      </c>
      <c r="J36" t="str">
        <f>TEXT(C36,"mmm-yyyy")</f>
        <v>Jan-2026</v>
      </c>
    </row>
    <row r="37" spans="1:10" x14ac:dyDescent="0.25">
      <c r="A37" t="s">
        <v>189</v>
      </c>
      <c r="B37" t="s">
        <v>1629</v>
      </c>
      <c r="C37" s="3">
        <v>45991</v>
      </c>
      <c r="D37" s="3">
        <v>45993</v>
      </c>
      <c r="E37" t="str">
        <f>IFERROR(VLOOKUP(B37,Assets_Master!A:E,5,FALSE),"Unknown")</f>
        <v>Samsung IT</v>
      </c>
      <c r="F37" t="str">
        <f>IFERROR(VLOOKUP(B37,Assets_Master!A:J,10,FALSE),"Unknown")</f>
        <v>EMEA</v>
      </c>
      <c r="G37">
        <v>2</v>
      </c>
      <c r="H37">
        <f>IF(AND(C37&lt;&gt;"",D37&lt;&gt;""),NETWORKDAYS(C37,D37),0)</f>
        <v>2</v>
      </c>
      <c r="I37" t="str">
        <f>IF(H37&gt;G37,"YES","NO")</f>
        <v>NO</v>
      </c>
      <c r="J37" t="str">
        <f>TEXT(C37,"mmm-yyyy")</f>
        <v>Nov-2025</v>
      </c>
    </row>
    <row r="38" spans="1:10" x14ac:dyDescent="0.25">
      <c r="A38" t="s">
        <v>190</v>
      </c>
      <c r="B38" t="s">
        <v>1585</v>
      </c>
      <c r="C38" s="3">
        <v>46004</v>
      </c>
      <c r="D38" s="3">
        <v>46006</v>
      </c>
      <c r="E38" t="str">
        <f>IFERROR(VLOOKUP(B38,Assets_Master!A:E,5,FALSE),"Unknown")</f>
        <v>Lenovo Pro</v>
      </c>
      <c r="F38" t="str">
        <f>IFERROR(VLOOKUP(B38,Assets_Master!A:J,10,FALSE),"Unknown")</f>
        <v>APAC</v>
      </c>
      <c r="G38">
        <v>2</v>
      </c>
      <c r="H38">
        <f>IF(AND(C38&lt;&gt;"",D38&lt;&gt;""),NETWORKDAYS(C38,D38),0)</f>
        <v>1</v>
      </c>
      <c r="I38" t="str">
        <f>IF(H38&gt;G38,"YES","NO")</f>
        <v>NO</v>
      </c>
      <c r="J38" t="str">
        <f>TEXT(C38,"mmm-yyyy")</f>
        <v>Dec-2025</v>
      </c>
    </row>
    <row r="39" spans="1:10" x14ac:dyDescent="0.25">
      <c r="A39" t="s">
        <v>191</v>
      </c>
      <c r="B39" t="s">
        <v>1777</v>
      </c>
      <c r="C39" s="3">
        <v>46010</v>
      </c>
      <c r="D39" s="3">
        <v>46013</v>
      </c>
      <c r="E39" t="str">
        <f>IFERROR(VLOOKUP(B39,Assets_Master!A:E,5,FALSE),"Unknown")</f>
        <v>Dell Global</v>
      </c>
      <c r="F39" t="str">
        <f>IFERROR(VLOOKUP(B39,Assets_Master!A:J,10,FALSE),"Unknown")</f>
        <v>APAC</v>
      </c>
      <c r="G39">
        <v>2</v>
      </c>
      <c r="H39">
        <f>IF(AND(C39&lt;&gt;"",D39&lt;&gt;""),NETWORKDAYS(C39,D39),0)</f>
        <v>2</v>
      </c>
      <c r="I39" t="str">
        <f>IF(H39&gt;G39,"YES","NO")</f>
        <v>NO</v>
      </c>
      <c r="J39" t="str">
        <f>TEXT(C39,"mmm-yyyy")</f>
        <v>Dec-2025</v>
      </c>
    </row>
    <row r="40" spans="1:10" x14ac:dyDescent="0.25">
      <c r="A40" t="s">
        <v>192</v>
      </c>
      <c r="B40" t="s">
        <v>2000</v>
      </c>
      <c r="C40" s="3">
        <v>46031</v>
      </c>
      <c r="D40" s="3">
        <v>46035</v>
      </c>
      <c r="E40" t="str">
        <f>IFERROR(VLOOKUP(B40,Assets_Master!A:E,5,FALSE),"Unknown")</f>
        <v>Lenovo Pro</v>
      </c>
      <c r="F40" t="str">
        <f>IFERROR(VLOOKUP(B40,Assets_Master!A:J,10,FALSE),"Unknown")</f>
        <v>LATAM</v>
      </c>
      <c r="G40">
        <v>2</v>
      </c>
      <c r="H40">
        <f>IF(AND(C40&lt;&gt;"",D40&lt;&gt;""),NETWORKDAYS(C40,D40),0)</f>
        <v>3</v>
      </c>
      <c r="I40" t="str">
        <f>IF(H40&gt;G40,"YES","NO")</f>
        <v>YES</v>
      </c>
      <c r="J40" t="str">
        <f>TEXT(C40,"mmm-yyyy")</f>
        <v>Jan-2026</v>
      </c>
    </row>
    <row r="41" spans="1:10" x14ac:dyDescent="0.25">
      <c r="A41" t="s">
        <v>193</v>
      </c>
      <c r="B41" t="s">
        <v>1336</v>
      </c>
      <c r="C41" s="3">
        <v>46011</v>
      </c>
      <c r="D41" s="3">
        <v>46013</v>
      </c>
      <c r="E41" t="str">
        <f>IFERROR(VLOOKUP(B41,Assets_Master!A:E,5,FALSE),"Unknown")</f>
        <v>Samsung IT</v>
      </c>
      <c r="F41" t="str">
        <f>IFERROR(VLOOKUP(B41,Assets_Master!A:J,10,FALSE),"Unknown")</f>
        <v>AMER</v>
      </c>
      <c r="G41">
        <v>2</v>
      </c>
      <c r="H41">
        <f>IF(AND(C41&lt;&gt;"",D41&lt;&gt;""),NETWORKDAYS(C41,D41),0)</f>
        <v>1</v>
      </c>
      <c r="I41" t="str">
        <f>IF(H41&gt;G41,"YES","NO")</f>
        <v>NO</v>
      </c>
      <c r="J41" t="str">
        <f>TEXT(C41,"mmm-yyyy")</f>
        <v>Dec-2025</v>
      </c>
    </row>
    <row r="42" spans="1:10" x14ac:dyDescent="0.25">
      <c r="A42" t="s">
        <v>194</v>
      </c>
      <c r="B42" t="s">
        <v>1417</v>
      </c>
      <c r="C42" s="3">
        <v>46027</v>
      </c>
      <c r="D42" s="3">
        <v>46030</v>
      </c>
      <c r="E42" t="str">
        <f>IFERROR(VLOOKUP(B42,Assets_Master!A:E,5,FALSE),"Unknown")</f>
        <v>Dell Global</v>
      </c>
      <c r="F42" t="str">
        <f>IFERROR(VLOOKUP(B42,Assets_Master!A:J,10,FALSE),"Unknown")</f>
        <v>LATAM</v>
      </c>
      <c r="G42">
        <v>2</v>
      </c>
      <c r="H42">
        <f>IF(AND(C42&lt;&gt;"",D42&lt;&gt;""),NETWORKDAYS(C42,D42),0)</f>
        <v>4</v>
      </c>
      <c r="I42" t="str">
        <f>IF(H42&gt;G42,"YES","NO")</f>
        <v>YES</v>
      </c>
      <c r="J42" t="str">
        <f>TEXT(C42,"mmm-yyyy")</f>
        <v>Jan-2026</v>
      </c>
    </row>
    <row r="43" spans="1:10" x14ac:dyDescent="0.25">
      <c r="A43" t="s">
        <v>195</v>
      </c>
      <c r="B43" t="s">
        <v>624</v>
      </c>
      <c r="C43" s="3">
        <v>46045</v>
      </c>
      <c r="D43" s="3">
        <v>46048</v>
      </c>
      <c r="E43" t="str">
        <f>IFERROR(VLOOKUP(B43,Assets_Master!A:E,5,FALSE),"Unknown")</f>
        <v>HP Inc</v>
      </c>
      <c r="F43" t="str">
        <f>IFERROR(VLOOKUP(B43,Assets_Master!A:J,10,FALSE),"Unknown")</f>
        <v>LATAM</v>
      </c>
      <c r="G43">
        <v>2</v>
      </c>
      <c r="H43">
        <f>IF(AND(C43&lt;&gt;"",D43&lt;&gt;""),NETWORKDAYS(C43,D43),0)</f>
        <v>2</v>
      </c>
      <c r="I43" t="str">
        <f>IF(H43&gt;G43,"YES","NO")</f>
        <v>NO</v>
      </c>
      <c r="J43" t="str">
        <f>TEXT(C43,"mmm-yyyy")</f>
        <v>Jan-2026</v>
      </c>
    </row>
    <row r="44" spans="1:10" x14ac:dyDescent="0.25">
      <c r="A44" t="s">
        <v>196</v>
      </c>
      <c r="B44" t="s">
        <v>73</v>
      </c>
      <c r="C44" s="3">
        <v>46012</v>
      </c>
      <c r="D44" s="3">
        <v>46017</v>
      </c>
      <c r="E44" t="str">
        <f>IFERROR(VLOOKUP(B44,Assets_Master!A:E,5,FALSE),"Unknown")</f>
        <v>Lenovo Pro</v>
      </c>
      <c r="F44" t="str">
        <f>IFERROR(VLOOKUP(B44,Assets_Master!A:J,10,FALSE),"Unknown")</f>
        <v>APAC</v>
      </c>
      <c r="G44">
        <v>2</v>
      </c>
      <c r="H44">
        <f>IF(AND(C44&lt;&gt;"",D44&lt;&gt;""),NETWORKDAYS(C44,D44),0)</f>
        <v>5</v>
      </c>
      <c r="I44" t="str">
        <f>IF(H44&gt;G44,"YES","NO")</f>
        <v>YES</v>
      </c>
      <c r="J44" t="str">
        <f>TEXT(C44,"mmm-yyyy")</f>
        <v>Dec-2025</v>
      </c>
    </row>
    <row r="45" spans="1:10" x14ac:dyDescent="0.25">
      <c r="A45" t="s">
        <v>197</v>
      </c>
      <c r="B45" t="s">
        <v>709</v>
      </c>
      <c r="C45" s="3">
        <v>46060</v>
      </c>
      <c r="D45" s="3">
        <v>46062</v>
      </c>
      <c r="E45" t="str">
        <f>IFERROR(VLOOKUP(B45,Assets_Master!A:E,5,FALSE),"Unknown")</f>
        <v>Cisco Systems</v>
      </c>
      <c r="F45" t="str">
        <f>IFERROR(VLOOKUP(B45,Assets_Master!A:J,10,FALSE),"Unknown")</f>
        <v>APAC</v>
      </c>
      <c r="G45">
        <v>2</v>
      </c>
      <c r="H45">
        <f>IF(AND(C45&lt;&gt;"",D45&lt;&gt;""),NETWORKDAYS(C45,D45),0)</f>
        <v>1</v>
      </c>
      <c r="I45" t="str">
        <f>IF(H45&gt;G45,"YES","NO")</f>
        <v>NO</v>
      </c>
      <c r="J45" t="str">
        <f>TEXT(C45,"mmm-yyyy")</f>
        <v>Feb-2026</v>
      </c>
    </row>
    <row r="46" spans="1:10" x14ac:dyDescent="0.25">
      <c r="A46" t="s">
        <v>198</v>
      </c>
      <c r="B46" t="s">
        <v>115</v>
      </c>
      <c r="C46" s="3">
        <v>46024</v>
      </c>
      <c r="D46" s="3">
        <v>46028</v>
      </c>
      <c r="E46" t="str">
        <f>IFERROR(VLOOKUP(B46,Assets_Master!A:E,5,FALSE),"Unknown")</f>
        <v>Cisco Systems</v>
      </c>
      <c r="F46" t="str">
        <f>IFERROR(VLOOKUP(B46,Assets_Master!A:J,10,FALSE),"Unknown")</f>
        <v>AMER</v>
      </c>
      <c r="G46">
        <v>2</v>
      </c>
      <c r="H46">
        <f>IF(AND(C46&lt;&gt;"",D46&lt;&gt;""),NETWORKDAYS(C46,D46),0)</f>
        <v>3</v>
      </c>
      <c r="I46" t="str">
        <f>IF(H46&gt;G46,"YES","NO")</f>
        <v>YES</v>
      </c>
      <c r="J46" t="str">
        <f>TEXT(C46,"mmm-yyyy")</f>
        <v>Jan-2026</v>
      </c>
    </row>
    <row r="47" spans="1:10" x14ac:dyDescent="0.25">
      <c r="A47" t="s">
        <v>199</v>
      </c>
      <c r="B47" t="s">
        <v>1896</v>
      </c>
      <c r="C47" s="3">
        <v>46067</v>
      </c>
      <c r="D47" s="3">
        <v>46072</v>
      </c>
      <c r="E47" t="str">
        <f>IFERROR(VLOOKUP(B47,Assets_Master!A:E,5,FALSE),"Unknown")</f>
        <v>Samsung IT</v>
      </c>
      <c r="F47" t="str">
        <f>IFERROR(VLOOKUP(B47,Assets_Master!A:J,10,FALSE),"Unknown")</f>
        <v>EMEA</v>
      </c>
      <c r="G47">
        <v>2</v>
      </c>
      <c r="H47">
        <f>IF(AND(C47&lt;&gt;"",D47&lt;&gt;""),NETWORKDAYS(C47,D47),0)</f>
        <v>4</v>
      </c>
      <c r="I47" t="str">
        <f>IF(H47&gt;G47,"YES","NO")</f>
        <v>YES</v>
      </c>
      <c r="J47" t="str">
        <f>TEXT(C47,"mmm-yyyy")</f>
        <v>Feb-2026</v>
      </c>
    </row>
    <row r="48" spans="1:10" x14ac:dyDescent="0.25">
      <c r="A48" t="s">
        <v>200</v>
      </c>
      <c r="B48" t="s">
        <v>1965</v>
      </c>
      <c r="C48" s="3">
        <v>46052</v>
      </c>
      <c r="D48" s="3">
        <v>46056</v>
      </c>
      <c r="E48" t="str">
        <f>IFERROR(VLOOKUP(B48,Assets_Master!A:E,5,FALSE),"Unknown")</f>
        <v>HP Inc</v>
      </c>
      <c r="F48" t="str">
        <f>IFERROR(VLOOKUP(B48,Assets_Master!A:J,10,FALSE),"Unknown")</f>
        <v>LATAM</v>
      </c>
      <c r="G48">
        <v>2</v>
      </c>
      <c r="H48">
        <f>IF(AND(C48&lt;&gt;"",D48&lt;&gt;""),NETWORKDAYS(C48,D48),0)</f>
        <v>3</v>
      </c>
      <c r="I48" t="str">
        <f>IF(H48&gt;G48,"YES","NO")</f>
        <v>YES</v>
      </c>
      <c r="J48" t="str">
        <f>TEXT(C48,"mmm-yyyy")</f>
        <v>Jan-2026</v>
      </c>
    </row>
    <row r="49" spans="1:10" x14ac:dyDescent="0.25">
      <c r="A49" t="s">
        <v>201</v>
      </c>
      <c r="B49" t="s">
        <v>591</v>
      </c>
      <c r="C49" s="3">
        <v>45988</v>
      </c>
      <c r="D49" s="3">
        <v>45991</v>
      </c>
      <c r="E49" t="str">
        <f>IFERROR(VLOOKUP(B49,Assets_Master!A:E,5,FALSE),"Unknown")</f>
        <v>Fujitsu</v>
      </c>
      <c r="F49" t="str">
        <f>IFERROR(VLOOKUP(B49,Assets_Master!A:J,10,FALSE),"Unknown")</f>
        <v>AMER</v>
      </c>
      <c r="G49">
        <v>2</v>
      </c>
      <c r="H49">
        <f>IF(AND(C49&lt;&gt;"",D49&lt;&gt;""),NETWORKDAYS(C49,D49),0)</f>
        <v>2</v>
      </c>
      <c r="I49" t="str">
        <f>IF(H49&gt;G49,"YES","NO")</f>
        <v>NO</v>
      </c>
      <c r="J49" t="str">
        <f>TEXT(C49,"mmm-yyyy")</f>
        <v>Nov-2025</v>
      </c>
    </row>
    <row r="50" spans="1:10" x14ac:dyDescent="0.25">
      <c r="A50" t="s">
        <v>202</v>
      </c>
      <c r="B50" t="s">
        <v>1469</v>
      </c>
      <c r="C50" s="3">
        <v>46067</v>
      </c>
      <c r="D50" s="3">
        <v>46070</v>
      </c>
      <c r="E50" t="str">
        <f>IFERROR(VLOOKUP(B50,Assets_Master!A:E,5,FALSE),"Unknown")</f>
        <v>Cisco Systems</v>
      </c>
      <c r="F50" t="str">
        <f>IFERROR(VLOOKUP(B50,Assets_Master!A:J,10,FALSE),"Unknown")</f>
        <v>LATAM</v>
      </c>
      <c r="G50">
        <v>2</v>
      </c>
      <c r="H50">
        <f>IF(AND(C50&lt;&gt;"",D50&lt;&gt;""),NETWORKDAYS(C50,D50),0)</f>
        <v>2</v>
      </c>
      <c r="I50" t="str">
        <f>IF(H50&gt;G50,"YES","NO")</f>
        <v>NO</v>
      </c>
      <c r="J50" t="str">
        <f>TEXT(C50,"mmm-yyyy")</f>
        <v>Feb-2026</v>
      </c>
    </row>
    <row r="51" spans="1:10" x14ac:dyDescent="0.25">
      <c r="A51" t="s">
        <v>203</v>
      </c>
      <c r="B51" t="s">
        <v>1184</v>
      </c>
      <c r="C51" s="3">
        <v>46061</v>
      </c>
      <c r="D51" s="3">
        <v>46066</v>
      </c>
      <c r="E51" t="str">
        <f>IFERROR(VLOOKUP(B51,Assets_Master!A:E,5,FALSE),"Unknown")</f>
        <v>Lenovo Pro</v>
      </c>
      <c r="F51" t="str">
        <f>IFERROR(VLOOKUP(B51,Assets_Master!A:J,10,FALSE),"Unknown")</f>
        <v>LATAM</v>
      </c>
      <c r="G51">
        <v>2</v>
      </c>
      <c r="H51">
        <f>IF(AND(C51&lt;&gt;"",D51&lt;&gt;""),NETWORKDAYS(C51,D51),0)</f>
        <v>5</v>
      </c>
      <c r="I51" t="str">
        <f>IF(H51&gt;G51,"YES","NO")</f>
        <v>YES</v>
      </c>
      <c r="J51" t="str">
        <f>TEXT(C51,"mmm-yyyy")</f>
        <v>Feb-2026</v>
      </c>
    </row>
    <row r="52" spans="1:10" x14ac:dyDescent="0.25">
      <c r="A52" t="s">
        <v>204</v>
      </c>
      <c r="B52" t="s">
        <v>2028</v>
      </c>
      <c r="C52" s="3">
        <v>46028</v>
      </c>
      <c r="D52" s="3">
        <v>46031</v>
      </c>
      <c r="E52" t="str">
        <f>IFERROR(VLOOKUP(B52,Assets_Master!A:E,5,FALSE),"Unknown")</f>
        <v>Cisco Systems</v>
      </c>
      <c r="F52" t="str">
        <f>IFERROR(VLOOKUP(B52,Assets_Master!A:J,10,FALSE),"Unknown")</f>
        <v>LATAM</v>
      </c>
      <c r="G52">
        <v>2</v>
      </c>
      <c r="H52">
        <f>IF(AND(C52&lt;&gt;"",D52&lt;&gt;""),NETWORKDAYS(C52,D52),0)</f>
        <v>4</v>
      </c>
      <c r="I52" t="str">
        <f>IF(H52&gt;G52,"YES","NO")</f>
        <v>YES</v>
      </c>
      <c r="J52" t="str">
        <f>TEXT(C52,"mmm-yyyy")</f>
        <v>Jan-2026</v>
      </c>
    </row>
    <row r="53" spans="1:10" x14ac:dyDescent="0.25">
      <c r="A53" t="s">
        <v>205</v>
      </c>
      <c r="B53" t="s">
        <v>91</v>
      </c>
      <c r="C53" s="3">
        <v>45997</v>
      </c>
      <c r="D53" s="3">
        <v>45999</v>
      </c>
      <c r="E53" t="str">
        <f>IFERROR(VLOOKUP(B53,Assets_Master!A:E,5,FALSE),"Unknown")</f>
        <v>Apple Enterprise</v>
      </c>
      <c r="F53" t="str">
        <f>IFERROR(VLOOKUP(B53,Assets_Master!A:J,10,FALSE),"Unknown")</f>
        <v>EMEA</v>
      </c>
      <c r="G53">
        <v>2</v>
      </c>
      <c r="H53">
        <f>IF(AND(C53&lt;&gt;"",D53&lt;&gt;""),NETWORKDAYS(C53,D53),0)</f>
        <v>1</v>
      </c>
      <c r="I53" t="str">
        <f>IF(H53&gt;G53,"YES","NO")</f>
        <v>NO</v>
      </c>
      <c r="J53" t="str">
        <f>TEXT(C53,"mmm-yyyy")</f>
        <v>Dec-2025</v>
      </c>
    </row>
    <row r="54" spans="1:10" x14ac:dyDescent="0.25">
      <c r="A54" t="s">
        <v>206</v>
      </c>
      <c r="B54" t="s">
        <v>81</v>
      </c>
      <c r="C54" s="3">
        <v>46059</v>
      </c>
      <c r="D54" s="3">
        <v>46061</v>
      </c>
      <c r="E54" t="str">
        <f>IFERROR(VLOOKUP(B54,Assets_Master!A:E,5,FALSE),"Unknown")</f>
        <v>Lenovo Pro</v>
      </c>
      <c r="F54" t="str">
        <f>IFERROR(VLOOKUP(B54,Assets_Master!A:J,10,FALSE),"Unknown")</f>
        <v>LATAM</v>
      </c>
      <c r="G54">
        <v>2</v>
      </c>
      <c r="H54">
        <f>IF(AND(C54&lt;&gt;"",D54&lt;&gt;""),NETWORKDAYS(C54,D54),0)</f>
        <v>1</v>
      </c>
      <c r="I54" t="str">
        <f>IF(H54&gt;G54,"YES","NO")</f>
        <v>NO</v>
      </c>
      <c r="J54" t="str">
        <f>TEXT(C54,"mmm-yyyy")</f>
        <v>Feb-2026</v>
      </c>
    </row>
    <row r="55" spans="1:10" x14ac:dyDescent="0.25">
      <c r="A55" t="s">
        <v>207</v>
      </c>
      <c r="B55" t="s">
        <v>1346</v>
      </c>
      <c r="C55" s="3">
        <v>46043</v>
      </c>
      <c r="D55" s="3">
        <v>46046</v>
      </c>
      <c r="E55" t="str">
        <f>IFERROR(VLOOKUP(B55,Assets_Master!A:E,5,FALSE),"Unknown")</f>
        <v>Lenovo Pro</v>
      </c>
      <c r="F55" t="str">
        <f>IFERROR(VLOOKUP(B55,Assets_Master!A:J,10,FALSE),"Unknown")</f>
        <v>EMEA</v>
      </c>
      <c r="G55">
        <v>2</v>
      </c>
      <c r="H55">
        <f>IF(AND(C55&lt;&gt;"",D55&lt;&gt;""),NETWORKDAYS(C55,D55),0)</f>
        <v>3</v>
      </c>
      <c r="I55" t="str">
        <f>IF(H55&gt;G55,"YES","NO")</f>
        <v>YES</v>
      </c>
      <c r="J55" t="str">
        <f>TEXT(C55,"mmm-yyyy")</f>
        <v>Jan-2026</v>
      </c>
    </row>
    <row r="56" spans="1:10" x14ac:dyDescent="0.25">
      <c r="A56" t="s">
        <v>208</v>
      </c>
      <c r="B56" t="s">
        <v>976</v>
      </c>
      <c r="C56" s="3">
        <v>45996</v>
      </c>
      <c r="D56" s="3">
        <v>46001</v>
      </c>
      <c r="E56" t="str">
        <f>IFERROR(VLOOKUP(B56,Assets_Master!A:E,5,FALSE),"Unknown")</f>
        <v>Dell Global</v>
      </c>
      <c r="F56" t="str">
        <f>IFERROR(VLOOKUP(B56,Assets_Master!A:J,10,FALSE),"Unknown")</f>
        <v>APAC</v>
      </c>
      <c r="G56">
        <v>2</v>
      </c>
      <c r="H56">
        <f>IF(AND(C56&lt;&gt;"",D56&lt;&gt;""),NETWORKDAYS(C56,D56),0)</f>
        <v>4</v>
      </c>
      <c r="I56" t="str">
        <f>IF(H56&gt;G56,"YES","NO")</f>
        <v>YES</v>
      </c>
      <c r="J56" t="str">
        <f>TEXT(C56,"mmm-yyyy")</f>
        <v>Dec-2025</v>
      </c>
    </row>
    <row r="57" spans="1:10" x14ac:dyDescent="0.25">
      <c r="A57" t="s">
        <v>209</v>
      </c>
      <c r="B57" t="s">
        <v>1473</v>
      </c>
      <c r="C57" s="3">
        <v>46037</v>
      </c>
      <c r="D57" s="3">
        <v>46042</v>
      </c>
      <c r="E57" t="str">
        <f>IFERROR(VLOOKUP(B57,Assets_Master!A:E,5,FALSE),"Unknown")</f>
        <v>Lenovo Pro</v>
      </c>
      <c r="F57" t="str">
        <f>IFERROR(VLOOKUP(B57,Assets_Master!A:J,10,FALSE),"Unknown")</f>
        <v>AMER</v>
      </c>
      <c r="G57">
        <v>2</v>
      </c>
      <c r="H57">
        <f>IF(AND(C57&lt;&gt;"",D57&lt;&gt;""),NETWORKDAYS(C57,D57),0)</f>
        <v>4</v>
      </c>
      <c r="I57" t="str">
        <f>IF(H57&gt;G57,"YES","NO")</f>
        <v>YES</v>
      </c>
      <c r="J57" t="str">
        <f>TEXT(C57,"mmm-yyyy")</f>
        <v>Jan-2026</v>
      </c>
    </row>
    <row r="58" spans="1:10" x14ac:dyDescent="0.25">
      <c r="A58" t="s">
        <v>210</v>
      </c>
      <c r="B58" t="s">
        <v>580</v>
      </c>
      <c r="C58" s="3">
        <v>45993</v>
      </c>
      <c r="D58" s="3">
        <v>45998</v>
      </c>
      <c r="E58" t="str">
        <f>IFERROR(VLOOKUP(B58,Assets_Master!A:E,5,FALSE),"Unknown")</f>
        <v>Cisco Systems</v>
      </c>
      <c r="F58" t="str">
        <f>IFERROR(VLOOKUP(B58,Assets_Master!A:J,10,FALSE),"Unknown")</f>
        <v>LATAM</v>
      </c>
      <c r="G58">
        <v>2</v>
      </c>
      <c r="H58">
        <f>IF(AND(C58&lt;&gt;"",D58&lt;&gt;""),NETWORKDAYS(C58,D58),0)</f>
        <v>4</v>
      </c>
      <c r="I58" t="str">
        <f>IF(H58&gt;G58,"YES","NO")</f>
        <v>YES</v>
      </c>
      <c r="J58" t="str">
        <f>TEXT(C58,"mmm-yyyy")</f>
        <v>Dec-2025</v>
      </c>
    </row>
    <row r="59" spans="1:10" x14ac:dyDescent="0.25">
      <c r="A59" t="s">
        <v>211</v>
      </c>
      <c r="B59" t="s">
        <v>700</v>
      </c>
      <c r="C59" s="3">
        <v>46025</v>
      </c>
      <c r="D59" s="3">
        <v>46027</v>
      </c>
      <c r="E59" t="str">
        <f>IFERROR(VLOOKUP(B59,Assets_Master!A:E,5,FALSE),"Unknown")</f>
        <v>Dell Global</v>
      </c>
      <c r="F59" t="str">
        <f>IFERROR(VLOOKUP(B59,Assets_Master!A:J,10,FALSE),"Unknown")</f>
        <v>AMER</v>
      </c>
      <c r="G59">
        <v>2</v>
      </c>
      <c r="H59">
        <f>IF(AND(C59&lt;&gt;"",D59&lt;&gt;""),NETWORKDAYS(C59,D59),0)</f>
        <v>1</v>
      </c>
      <c r="I59" t="str">
        <f>IF(H59&gt;G59,"YES","NO")</f>
        <v>NO</v>
      </c>
      <c r="J59" t="str">
        <f>TEXT(C59,"mmm-yyyy")</f>
        <v>Jan-2026</v>
      </c>
    </row>
    <row r="60" spans="1:10" x14ac:dyDescent="0.25">
      <c r="A60" t="s">
        <v>212</v>
      </c>
      <c r="B60" t="s">
        <v>1629</v>
      </c>
      <c r="C60" s="3">
        <v>45981</v>
      </c>
      <c r="D60" s="3">
        <v>45984</v>
      </c>
      <c r="E60" t="str">
        <f>IFERROR(VLOOKUP(B60,Assets_Master!A:E,5,FALSE),"Unknown")</f>
        <v>Samsung IT</v>
      </c>
      <c r="F60" t="str">
        <f>IFERROR(VLOOKUP(B60,Assets_Master!A:J,10,FALSE),"Unknown")</f>
        <v>EMEA</v>
      </c>
      <c r="G60">
        <v>2</v>
      </c>
      <c r="H60">
        <f>IF(AND(C60&lt;&gt;"",D60&lt;&gt;""),NETWORKDAYS(C60,D60),0)</f>
        <v>2</v>
      </c>
      <c r="I60" t="str">
        <f>IF(H60&gt;G60,"YES","NO")</f>
        <v>NO</v>
      </c>
      <c r="J60" t="str">
        <f>TEXT(C60,"mmm-yyyy")</f>
        <v>Nov-2025</v>
      </c>
    </row>
    <row r="61" spans="1:10" x14ac:dyDescent="0.25">
      <c r="A61" t="s">
        <v>213</v>
      </c>
      <c r="B61" t="s">
        <v>1130</v>
      </c>
      <c r="C61" s="3">
        <v>45986</v>
      </c>
      <c r="D61" s="3">
        <v>45990</v>
      </c>
      <c r="E61" t="str">
        <f>IFERROR(VLOOKUP(B61,Assets_Master!A:E,5,FALSE),"Unknown")</f>
        <v>Lenovo Pro</v>
      </c>
      <c r="F61" t="str">
        <f>IFERROR(VLOOKUP(B61,Assets_Master!A:J,10,FALSE),"Unknown")</f>
        <v>EMEA</v>
      </c>
      <c r="G61">
        <v>2</v>
      </c>
      <c r="H61">
        <f>IF(AND(C61&lt;&gt;"",D61&lt;&gt;""),NETWORKDAYS(C61,D61),0)</f>
        <v>4</v>
      </c>
      <c r="I61" t="str">
        <f>IF(H61&gt;G61,"YES","NO")</f>
        <v>YES</v>
      </c>
      <c r="J61" t="str">
        <f>TEXT(C61,"mmm-yyyy")</f>
        <v>Nov-2025</v>
      </c>
    </row>
    <row r="62" spans="1:10" x14ac:dyDescent="0.25">
      <c r="A62" t="s">
        <v>214</v>
      </c>
      <c r="B62" t="s">
        <v>832</v>
      </c>
      <c r="C62" s="3">
        <v>45997</v>
      </c>
      <c r="D62" s="3">
        <v>45999</v>
      </c>
      <c r="E62" t="str">
        <f>IFERROR(VLOOKUP(B62,Assets_Master!A:E,5,FALSE),"Unknown")</f>
        <v>HP Inc</v>
      </c>
      <c r="F62" t="str">
        <f>IFERROR(VLOOKUP(B62,Assets_Master!A:J,10,FALSE),"Unknown")</f>
        <v>AMER</v>
      </c>
      <c r="G62">
        <v>2</v>
      </c>
      <c r="H62">
        <f>IF(AND(C62&lt;&gt;"",D62&lt;&gt;""),NETWORKDAYS(C62,D62),0)</f>
        <v>1</v>
      </c>
      <c r="I62" t="str">
        <f>IF(H62&gt;G62,"YES","NO")</f>
        <v>NO</v>
      </c>
      <c r="J62" t="str">
        <f>TEXT(C62,"mmm-yyyy")</f>
        <v>Dec-2025</v>
      </c>
    </row>
    <row r="63" spans="1:10" x14ac:dyDescent="0.25">
      <c r="A63" t="s">
        <v>215</v>
      </c>
      <c r="B63" t="s">
        <v>1873</v>
      </c>
      <c r="C63" s="3">
        <v>46053</v>
      </c>
      <c r="D63" s="3">
        <v>46055</v>
      </c>
      <c r="E63" t="str">
        <f>IFERROR(VLOOKUP(B63,Assets_Master!A:E,5,FALSE),"Unknown")</f>
        <v>HP Inc</v>
      </c>
      <c r="F63" t="str">
        <f>IFERROR(VLOOKUP(B63,Assets_Master!A:J,10,FALSE),"Unknown")</f>
        <v>AMER</v>
      </c>
      <c r="G63">
        <v>2</v>
      </c>
      <c r="H63">
        <f>IF(AND(C63&lt;&gt;"",D63&lt;&gt;""),NETWORKDAYS(C63,D63),0)</f>
        <v>1</v>
      </c>
      <c r="I63" t="str">
        <f>IF(H63&gt;G63,"YES","NO")</f>
        <v>NO</v>
      </c>
      <c r="J63" t="str">
        <f>TEXT(C63,"mmm-yyyy")</f>
        <v>Jan-2026</v>
      </c>
    </row>
    <row r="64" spans="1:10" x14ac:dyDescent="0.25">
      <c r="A64" t="s">
        <v>216</v>
      </c>
      <c r="B64" t="s">
        <v>953</v>
      </c>
      <c r="C64" s="3">
        <v>46017</v>
      </c>
      <c r="D64" s="3">
        <v>46019</v>
      </c>
      <c r="E64" t="str">
        <f>IFERROR(VLOOKUP(B64,Assets_Master!A:E,5,FALSE),"Unknown")</f>
        <v>HP Inc</v>
      </c>
      <c r="F64" t="str">
        <f>IFERROR(VLOOKUP(B64,Assets_Master!A:J,10,FALSE),"Unknown")</f>
        <v>LATAM</v>
      </c>
      <c r="G64">
        <v>2</v>
      </c>
      <c r="H64">
        <f>IF(AND(C64&lt;&gt;"",D64&lt;&gt;""),NETWORKDAYS(C64,D64),0)</f>
        <v>1</v>
      </c>
      <c r="I64" t="str">
        <f>IF(H64&gt;G64,"YES","NO")</f>
        <v>NO</v>
      </c>
      <c r="J64" t="str">
        <f>TEXT(C64,"mmm-yyyy")</f>
        <v>Dec-2025</v>
      </c>
    </row>
    <row r="65" spans="1:10" x14ac:dyDescent="0.25">
      <c r="A65" t="s">
        <v>217</v>
      </c>
      <c r="B65" t="s">
        <v>760</v>
      </c>
      <c r="C65" s="3">
        <v>45987</v>
      </c>
      <c r="D65" s="3">
        <v>45992</v>
      </c>
      <c r="E65" t="str">
        <f>IFERROR(VLOOKUP(B65,Assets_Master!A:E,5,FALSE),"Unknown")</f>
        <v>Dell Global</v>
      </c>
      <c r="F65" t="str">
        <f>IFERROR(VLOOKUP(B65,Assets_Master!A:J,10,FALSE),"Unknown")</f>
        <v>LATAM</v>
      </c>
      <c r="G65">
        <v>2</v>
      </c>
      <c r="H65">
        <f>IF(AND(C65&lt;&gt;"",D65&lt;&gt;""),NETWORKDAYS(C65,D65),0)</f>
        <v>4</v>
      </c>
      <c r="I65" t="str">
        <f>IF(H65&gt;G65,"YES","NO")</f>
        <v>YES</v>
      </c>
      <c r="J65" t="str">
        <f>TEXT(C65,"mmm-yyyy")</f>
        <v>Nov-2025</v>
      </c>
    </row>
    <row r="66" spans="1:10" x14ac:dyDescent="0.25">
      <c r="A66" t="s">
        <v>218</v>
      </c>
      <c r="B66" t="s">
        <v>1774</v>
      </c>
      <c r="C66" s="3">
        <v>46010</v>
      </c>
      <c r="D66" s="3">
        <v>46014</v>
      </c>
      <c r="E66" t="str">
        <f>IFERROR(VLOOKUP(B66,Assets_Master!A:E,5,FALSE),"Unknown")</f>
        <v>Cisco Systems</v>
      </c>
      <c r="F66" t="str">
        <f>IFERROR(VLOOKUP(B66,Assets_Master!A:J,10,FALSE),"Unknown")</f>
        <v>APAC</v>
      </c>
      <c r="G66">
        <v>2</v>
      </c>
      <c r="H66">
        <f>IF(AND(C66&lt;&gt;"",D66&lt;&gt;""),NETWORKDAYS(C66,D66),0)</f>
        <v>3</v>
      </c>
      <c r="I66" t="str">
        <f>IF(H66&gt;G66,"YES","NO")</f>
        <v>YES</v>
      </c>
      <c r="J66" t="str">
        <f>TEXT(C66,"mmm-yyyy")</f>
        <v>Dec-2025</v>
      </c>
    </row>
    <row r="67" spans="1:10" x14ac:dyDescent="0.25">
      <c r="A67" t="s">
        <v>219</v>
      </c>
      <c r="B67" t="s">
        <v>811</v>
      </c>
      <c r="C67" s="3">
        <v>46040</v>
      </c>
      <c r="D67" s="3">
        <v>46045</v>
      </c>
      <c r="E67" t="str">
        <f>IFERROR(VLOOKUP(B67,Assets_Master!A:E,5,FALSE),"Unknown")</f>
        <v>Samsung IT</v>
      </c>
      <c r="F67" t="str">
        <f>IFERROR(VLOOKUP(B67,Assets_Master!A:J,10,FALSE),"Unknown")</f>
        <v>EMEA</v>
      </c>
      <c r="G67">
        <v>2</v>
      </c>
      <c r="H67">
        <f>IF(AND(C67&lt;&gt;"",D67&lt;&gt;""),NETWORKDAYS(C67,D67),0)</f>
        <v>5</v>
      </c>
      <c r="I67" t="str">
        <f>IF(H67&gt;G67,"YES","NO")</f>
        <v>YES</v>
      </c>
      <c r="J67" t="str">
        <f>TEXT(C67,"mmm-yyyy")</f>
        <v>Jan-2026</v>
      </c>
    </row>
    <row r="68" spans="1:10" x14ac:dyDescent="0.25">
      <c r="A68" t="s">
        <v>220</v>
      </c>
      <c r="B68" t="s">
        <v>1965</v>
      </c>
      <c r="C68" s="3">
        <v>45986</v>
      </c>
      <c r="D68" s="3">
        <v>45988</v>
      </c>
      <c r="E68" t="str">
        <f>IFERROR(VLOOKUP(B68,Assets_Master!A:E,5,FALSE),"Unknown")</f>
        <v>HP Inc</v>
      </c>
      <c r="F68" t="str">
        <f>IFERROR(VLOOKUP(B68,Assets_Master!A:J,10,FALSE),"Unknown")</f>
        <v>LATAM</v>
      </c>
      <c r="G68">
        <v>2</v>
      </c>
      <c r="H68">
        <f>IF(AND(C68&lt;&gt;"",D68&lt;&gt;""),NETWORKDAYS(C68,D68),0)</f>
        <v>3</v>
      </c>
      <c r="I68" t="str">
        <f>IF(H68&gt;G68,"YES","NO")</f>
        <v>YES</v>
      </c>
      <c r="J68" t="str">
        <f>TEXT(C68,"mmm-yyyy")</f>
        <v>Nov-2025</v>
      </c>
    </row>
    <row r="69" spans="1:10" x14ac:dyDescent="0.25">
      <c r="A69" t="s">
        <v>221</v>
      </c>
      <c r="B69" t="s">
        <v>1216</v>
      </c>
      <c r="C69" s="3">
        <v>46049</v>
      </c>
      <c r="D69" s="3">
        <v>46054</v>
      </c>
      <c r="E69" t="str">
        <f>IFERROR(VLOOKUP(B69,Assets_Master!A:E,5,FALSE),"Unknown")</f>
        <v>Fujitsu</v>
      </c>
      <c r="F69" t="str">
        <f>IFERROR(VLOOKUP(B69,Assets_Master!A:J,10,FALSE),"Unknown")</f>
        <v>APAC</v>
      </c>
      <c r="G69">
        <v>2</v>
      </c>
      <c r="H69">
        <f>IF(AND(C69&lt;&gt;"",D69&lt;&gt;""),NETWORKDAYS(C69,D69),0)</f>
        <v>4</v>
      </c>
      <c r="I69" t="str">
        <f>IF(H69&gt;G69,"YES","NO")</f>
        <v>YES</v>
      </c>
      <c r="J69" t="str">
        <f>TEXT(C69,"mmm-yyyy")</f>
        <v>Jan-2026</v>
      </c>
    </row>
    <row r="70" spans="1:10" x14ac:dyDescent="0.25">
      <c r="A70" t="s">
        <v>222</v>
      </c>
      <c r="B70" t="s">
        <v>1861</v>
      </c>
      <c r="C70" s="3">
        <v>46055</v>
      </c>
      <c r="D70" s="3">
        <v>46059</v>
      </c>
      <c r="E70" t="str">
        <f>IFERROR(VLOOKUP(B70,Assets_Master!A:E,5,FALSE),"Unknown")</f>
        <v>Lenovo Pro</v>
      </c>
      <c r="F70" t="str">
        <f>IFERROR(VLOOKUP(B70,Assets_Master!A:J,10,FALSE),"Unknown")</f>
        <v>APAC</v>
      </c>
      <c r="G70">
        <v>2</v>
      </c>
      <c r="H70">
        <f>IF(AND(C70&lt;&gt;"",D70&lt;&gt;""),NETWORKDAYS(C70,D70),0)</f>
        <v>5</v>
      </c>
      <c r="I70" t="str">
        <f>IF(H70&gt;G70,"YES","NO")</f>
        <v>YES</v>
      </c>
      <c r="J70" t="str">
        <f>TEXT(C70,"mmm-yyyy")</f>
        <v>Feb-2026</v>
      </c>
    </row>
    <row r="71" spans="1:10" x14ac:dyDescent="0.25">
      <c r="A71" t="s">
        <v>223</v>
      </c>
      <c r="B71" t="s">
        <v>580</v>
      </c>
      <c r="C71" s="3">
        <v>46022</v>
      </c>
      <c r="D71" s="3">
        <v>46024</v>
      </c>
      <c r="E71" t="str">
        <f>IFERROR(VLOOKUP(B71,Assets_Master!A:E,5,FALSE),"Unknown")</f>
        <v>Cisco Systems</v>
      </c>
      <c r="F71" t="str">
        <f>IFERROR(VLOOKUP(B71,Assets_Master!A:J,10,FALSE),"Unknown")</f>
        <v>LATAM</v>
      </c>
      <c r="G71">
        <v>2</v>
      </c>
      <c r="H71">
        <f>IF(AND(C71&lt;&gt;"",D71&lt;&gt;""),NETWORKDAYS(C71,D71),0)</f>
        <v>3</v>
      </c>
      <c r="I71" t="str">
        <f>IF(H71&gt;G71,"YES","NO")</f>
        <v>YES</v>
      </c>
      <c r="J71" t="str">
        <f>TEXT(C71,"mmm-yyyy")</f>
        <v>Dec-2025</v>
      </c>
    </row>
    <row r="72" spans="1:10" x14ac:dyDescent="0.25">
      <c r="A72" t="s">
        <v>224</v>
      </c>
      <c r="B72" t="s">
        <v>616</v>
      </c>
      <c r="C72" s="3">
        <v>46065</v>
      </c>
      <c r="D72" s="3">
        <v>46069</v>
      </c>
      <c r="E72" t="str">
        <f>IFERROR(VLOOKUP(B72,Assets_Master!A:E,5,FALSE),"Unknown")</f>
        <v>Fujitsu</v>
      </c>
      <c r="F72" t="str">
        <f>IFERROR(VLOOKUP(B72,Assets_Master!A:J,10,FALSE),"Unknown")</f>
        <v>LATAM</v>
      </c>
      <c r="G72">
        <v>2</v>
      </c>
      <c r="H72">
        <f>IF(AND(C72&lt;&gt;"",D72&lt;&gt;""),NETWORKDAYS(C72,D72),0)</f>
        <v>3</v>
      </c>
      <c r="I72" t="str">
        <f>IF(H72&gt;G72,"YES","NO")</f>
        <v>YES</v>
      </c>
      <c r="J72" t="str">
        <f>TEXT(C72,"mmm-yyyy")</f>
        <v>Feb-2026</v>
      </c>
    </row>
    <row r="73" spans="1:10" x14ac:dyDescent="0.25">
      <c r="A73" t="s">
        <v>225</v>
      </c>
      <c r="B73" t="s">
        <v>1331</v>
      </c>
      <c r="C73" s="3">
        <v>45978</v>
      </c>
      <c r="D73" s="3">
        <v>45983</v>
      </c>
      <c r="E73" t="str">
        <f>IFERROR(VLOOKUP(B73,Assets_Master!A:E,5,FALSE),"Unknown")</f>
        <v>HP Inc</v>
      </c>
      <c r="F73" t="str">
        <f>IFERROR(VLOOKUP(B73,Assets_Master!A:J,10,FALSE),"Unknown")</f>
        <v>APAC</v>
      </c>
      <c r="G73">
        <v>2</v>
      </c>
      <c r="H73">
        <f>IF(AND(C73&lt;&gt;"",D73&lt;&gt;""),NETWORKDAYS(C73,D73),0)</f>
        <v>5</v>
      </c>
      <c r="I73" t="str">
        <f>IF(H73&gt;G73,"YES","NO")</f>
        <v>YES</v>
      </c>
      <c r="J73" t="str">
        <f>TEXT(C73,"mmm-yyyy")</f>
        <v>Nov-2025</v>
      </c>
    </row>
    <row r="74" spans="1:10" x14ac:dyDescent="0.25">
      <c r="A74" t="s">
        <v>226</v>
      </c>
      <c r="B74" t="s">
        <v>851</v>
      </c>
      <c r="C74" s="3">
        <v>46045</v>
      </c>
      <c r="D74" s="3">
        <v>46048</v>
      </c>
      <c r="E74" t="str">
        <f>IFERROR(VLOOKUP(B74,Assets_Master!A:E,5,FALSE),"Unknown")</f>
        <v>Cisco Systems</v>
      </c>
      <c r="F74" t="str">
        <f>IFERROR(VLOOKUP(B74,Assets_Master!A:J,10,FALSE),"Unknown")</f>
        <v>EMEA</v>
      </c>
      <c r="G74">
        <v>2</v>
      </c>
      <c r="H74">
        <f>IF(AND(C74&lt;&gt;"",D74&lt;&gt;""),NETWORKDAYS(C74,D74),0)</f>
        <v>2</v>
      </c>
      <c r="I74" t="str">
        <f>IF(H74&gt;G74,"YES","NO")</f>
        <v>NO</v>
      </c>
      <c r="J74" t="str">
        <f>TEXT(C74,"mmm-yyyy")</f>
        <v>Jan-2026</v>
      </c>
    </row>
    <row r="75" spans="1:10" x14ac:dyDescent="0.25">
      <c r="A75" t="s">
        <v>227</v>
      </c>
      <c r="B75" t="s">
        <v>1855</v>
      </c>
      <c r="C75" s="3">
        <v>46040</v>
      </c>
      <c r="D75" s="3">
        <v>46044</v>
      </c>
      <c r="E75" t="str">
        <f>IFERROR(VLOOKUP(B75,Assets_Master!A:E,5,FALSE),"Unknown")</f>
        <v>Fujitsu</v>
      </c>
      <c r="F75" t="str">
        <f>IFERROR(VLOOKUP(B75,Assets_Master!A:J,10,FALSE),"Unknown")</f>
        <v>AMER</v>
      </c>
      <c r="G75">
        <v>2</v>
      </c>
      <c r="H75">
        <f>IF(AND(C75&lt;&gt;"",D75&lt;&gt;""),NETWORKDAYS(C75,D75),0)</f>
        <v>4</v>
      </c>
      <c r="I75" t="str">
        <f>IF(H75&gt;G75,"YES","NO")</f>
        <v>YES</v>
      </c>
      <c r="J75" t="str">
        <f>TEXT(C75,"mmm-yyyy")</f>
        <v>Jan-2026</v>
      </c>
    </row>
    <row r="76" spans="1:10" x14ac:dyDescent="0.25">
      <c r="A76" t="s">
        <v>228</v>
      </c>
      <c r="B76" t="s">
        <v>1102</v>
      </c>
      <c r="C76" s="3">
        <v>45980</v>
      </c>
      <c r="D76" s="3">
        <v>45985</v>
      </c>
      <c r="E76" t="str">
        <f>IFERROR(VLOOKUP(B76,Assets_Master!A:E,5,FALSE),"Unknown")</f>
        <v>Dell Global</v>
      </c>
      <c r="F76" t="str">
        <f>IFERROR(VLOOKUP(B76,Assets_Master!A:J,10,FALSE),"Unknown")</f>
        <v>LATAM</v>
      </c>
      <c r="G76">
        <v>2</v>
      </c>
      <c r="H76">
        <f>IF(AND(C76&lt;&gt;"",D76&lt;&gt;""),NETWORKDAYS(C76,D76),0)</f>
        <v>4</v>
      </c>
      <c r="I76" t="str">
        <f>IF(H76&gt;G76,"YES","NO")</f>
        <v>YES</v>
      </c>
      <c r="J76" t="str">
        <f>TEXT(C76,"mmm-yyyy")</f>
        <v>Nov-2025</v>
      </c>
    </row>
    <row r="77" spans="1:10" x14ac:dyDescent="0.25">
      <c r="A77" t="s">
        <v>229</v>
      </c>
      <c r="B77" t="s">
        <v>1712</v>
      </c>
      <c r="C77" s="3">
        <v>46007</v>
      </c>
      <c r="D77" s="3">
        <v>46009</v>
      </c>
      <c r="E77" t="str">
        <f>IFERROR(VLOOKUP(B77,Assets_Master!A:E,5,FALSE),"Unknown")</f>
        <v>Fujitsu</v>
      </c>
      <c r="F77" t="str">
        <f>IFERROR(VLOOKUP(B77,Assets_Master!A:J,10,FALSE),"Unknown")</f>
        <v>EMEA</v>
      </c>
      <c r="G77">
        <v>2</v>
      </c>
      <c r="H77">
        <f>IF(AND(C77&lt;&gt;"",D77&lt;&gt;""),NETWORKDAYS(C77,D77),0)</f>
        <v>3</v>
      </c>
      <c r="I77" t="str">
        <f>IF(H77&gt;G77,"YES","NO")</f>
        <v>YES</v>
      </c>
      <c r="J77" t="str">
        <f>TEXT(C77,"mmm-yyyy")</f>
        <v>Dec-2025</v>
      </c>
    </row>
    <row r="78" spans="1:10" x14ac:dyDescent="0.25">
      <c r="A78" t="s">
        <v>230</v>
      </c>
      <c r="B78" t="s">
        <v>617</v>
      </c>
      <c r="C78" s="3">
        <v>46017</v>
      </c>
      <c r="D78" s="3">
        <v>46020</v>
      </c>
      <c r="E78" t="str">
        <f>IFERROR(VLOOKUP(B78,Assets_Master!A:E,5,FALSE),"Unknown")</f>
        <v>Apple Enterprise</v>
      </c>
      <c r="F78" t="str">
        <f>IFERROR(VLOOKUP(B78,Assets_Master!A:J,10,FALSE),"Unknown")</f>
        <v>AMER</v>
      </c>
      <c r="G78">
        <v>2</v>
      </c>
      <c r="H78">
        <f>IF(AND(C78&lt;&gt;"",D78&lt;&gt;""),NETWORKDAYS(C78,D78),0)</f>
        <v>2</v>
      </c>
      <c r="I78" t="str">
        <f>IF(H78&gt;G78,"YES","NO")</f>
        <v>NO</v>
      </c>
      <c r="J78" t="str">
        <f>TEXT(C78,"mmm-yyyy")</f>
        <v>Dec-2025</v>
      </c>
    </row>
    <row r="79" spans="1:10" x14ac:dyDescent="0.25">
      <c r="A79" t="s">
        <v>231</v>
      </c>
      <c r="B79" t="s">
        <v>1075</v>
      </c>
      <c r="C79" s="3">
        <v>45994</v>
      </c>
      <c r="D79" s="3">
        <v>45997</v>
      </c>
      <c r="E79" t="str">
        <f>IFERROR(VLOOKUP(B79,Assets_Master!A:E,5,FALSE),"Unknown")</f>
        <v>Apple Enterprise</v>
      </c>
      <c r="F79" t="str">
        <f>IFERROR(VLOOKUP(B79,Assets_Master!A:J,10,FALSE),"Unknown")</f>
        <v>APAC</v>
      </c>
      <c r="G79">
        <v>2</v>
      </c>
      <c r="H79">
        <f>IF(AND(C79&lt;&gt;"",D79&lt;&gt;""),NETWORKDAYS(C79,D79),0)</f>
        <v>3</v>
      </c>
      <c r="I79" t="str">
        <f>IF(H79&gt;G79,"YES","NO")</f>
        <v>YES</v>
      </c>
      <c r="J79" t="str">
        <f>TEXT(C79,"mmm-yyyy")</f>
        <v>Dec-2025</v>
      </c>
    </row>
    <row r="80" spans="1:10" x14ac:dyDescent="0.25">
      <c r="A80" t="s">
        <v>232</v>
      </c>
      <c r="B80" t="s">
        <v>1593</v>
      </c>
      <c r="C80" s="3">
        <v>46032</v>
      </c>
      <c r="D80" s="3">
        <v>46037</v>
      </c>
      <c r="E80" t="str">
        <f>IFERROR(VLOOKUP(B80,Assets_Master!A:E,5,FALSE),"Unknown")</f>
        <v>HP Inc</v>
      </c>
      <c r="F80" t="str">
        <f>IFERROR(VLOOKUP(B80,Assets_Master!A:J,10,FALSE),"Unknown")</f>
        <v>AMER</v>
      </c>
      <c r="G80">
        <v>2</v>
      </c>
      <c r="H80">
        <f>IF(AND(C80&lt;&gt;"",D80&lt;&gt;""),NETWORKDAYS(C80,D80),0)</f>
        <v>4</v>
      </c>
      <c r="I80" t="str">
        <f>IF(H80&gt;G80,"YES","NO")</f>
        <v>YES</v>
      </c>
      <c r="J80" t="str">
        <f>TEXT(C80,"mmm-yyyy")</f>
        <v>Jan-2026</v>
      </c>
    </row>
    <row r="81" spans="1:10" x14ac:dyDescent="0.25">
      <c r="A81" t="s">
        <v>233</v>
      </c>
      <c r="B81" t="s">
        <v>1822</v>
      </c>
      <c r="C81" s="3">
        <v>46060</v>
      </c>
      <c r="D81" s="3">
        <v>46064</v>
      </c>
      <c r="E81" t="str">
        <f>IFERROR(VLOOKUP(B81,Assets_Master!A:E,5,FALSE),"Unknown")</f>
        <v>Samsung IT</v>
      </c>
      <c r="F81" t="str">
        <f>IFERROR(VLOOKUP(B81,Assets_Master!A:J,10,FALSE),"Unknown")</f>
        <v>EMEA</v>
      </c>
      <c r="G81">
        <v>2</v>
      </c>
      <c r="H81">
        <f>IF(AND(C81&lt;&gt;"",D81&lt;&gt;""),NETWORKDAYS(C81,D81),0)</f>
        <v>3</v>
      </c>
      <c r="I81" t="str">
        <f>IF(H81&gt;G81,"YES","NO")</f>
        <v>YES</v>
      </c>
      <c r="J81" t="str">
        <f>TEXT(C81,"mmm-yyyy")</f>
        <v>Feb-2026</v>
      </c>
    </row>
    <row r="82" spans="1:10" x14ac:dyDescent="0.25">
      <c r="A82" t="s">
        <v>234</v>
      </c>
      <c r="B82" t="s">
        <v>1066</v>
      </c>
      <c r="C82" s="3">
        <v>46065</v>
      </c>
      <c r="D82" s="3">
        <v>46070</v>
      </c>
      <c r="E82" t="str">
        <f>IFERROR(VLOOKUP(B82,Assets_Master!A:E,5,FALSE),"Unknown")</f>
        <v>Fujitsu</v>
      </c>
      <c r="F82" t="str">
        <f>IFERROR(VLOOKUP(B82,Assets_Master!A:J,10,FALSE),"Unknown")</f>
        <v>AMER</v>
      </c>
      <c r="G82">
        <v>2</v>
      </c>
      <c r="H82">
        <f>IF(AND(C82&lt;&gt;"",D82&lt;&gt;""),NETWORKDAYS(C82,D82),0)</f>
        <v>4</v>
      </c>
      <c r="I82" t="str">
        <f>IF(H82&gt;G82,"YES","NO")</f>
        <v>YES</v>
      </c>
      <c r="J82" t="str">
        <f>TEXT(C82,"mmm-yyyy")</f>
        <v>Feb-2026</v>
      </c>
    </row>
    <row r="83" spans="1:10" x14ac:dyDescent="0.25">
      <c r="A83" t="s">
        <v>235</v>
      </c>
      <c r="B83" t="s">
        <v>1712</v>
      </c>
      <c r="C83" s="3">
        <v>46014</v>
      </c>
      <c r="D83" s="3">
        <v>46017</v>
      </c>
      <c r="E83" t="str">
        <f>IFERROR(VLOOKUP(B83,Assets_Master!A:E,5,FALSE),"Unknown")</f>
        <v>Fujitsu</v>
      </c>
      <c r="F83" t="str">
        <f>IFERROR(VLOOKUP(B83,Assets_Master!A:J,10,FALSE),"Unknown")</f>
        <v>EMEA</v>
      </c>
      <c r="G83">
        <v>2</v>
      </c>
      <c r="H83">
        <f>IF(AND(C83&lt;&gt;"",D83&lt;&gt;""),NETWORKDAYS(C83,D83),0)</f>
        <v>4</v>
      </c>
      <c r="I83" t="str">
        <f>IF(H83&gt;G83,"YES","NO")</f>
        <v>YES</v>
      </c>
      <c r="J83" t="str">
        <f>TEXT(C83,"mmm-yyyy")</f>
        <v>Dec-2025</v>
      </c>
    </row>
    <row r="84" spans="1:10" x14ac:dyDescent="0.25">
      <c r="A84" t="s">
        <v>236</v>
      </c>
      <c r="B84" t="s">
        <v>1968</v>
      </c>
      <c r="C84" s="3">
        <v>46042</v>
      </c>
      <c r="D84" s="3">
        <v>46047</v>
      </c>
      <c r="E84" t="str">
        <f>IFERROR(VLOOKUP(B84,Assets_Master!A:E,5,FALSE),"Unknown")</f>
        <v>Apple Enterprise</v>
      </c>
      <c r="F84" t="str">
        <f>IFERROR(VLOOKUP(B84,Assets_Master!A:J,10,FALSE),"Unknown")</f>
        <v>LATAM</v>
      </c>
      <c r="G84">
        <v>2</v>
      </c>
      <c r="H84">
        <f>IF(AND(C84&lt;&gt;"",D84&lt;&gt;""),NETWORKDAYS(C84,D84),0)</f>
        <v>4</v>
      </c>
      <c r="I84" t="str">
        <f>IF(H84&gt;G84,"YES","NO")</f>
        <v>YES</v>
      </c>
      <c r="J84" t="str">
        <f>TEXT(C84,"mmm-yyyy")</f>
        <v>Jan-2026</v>
      </c>
    </row>
    <row r="85" spans="1:10" x14ac:dyDescent="0.25">
      <c r="A85" t="s">
        <v>237</v>
      </c>
      <c r="B85" t="s">
        <v>1588</v>
      </c>
      <c r="C85" s="3">
        <v>46061</v>
      </c>
      <c r="D85" s="3">
        <v>46063</v>
      </c>
      <c r="E85" t="str">
        <f>IFERROR(VLOOKUP(B85,Assets_Master!A:E,5,FALSE),"Unknown")</f>
        <v>Lenovo Pro</v>
      </c>
      <c r="F85" t="str">
        <f>IFERROR(VLOOKUP(B85,Assets_Master!A:J,10,FALSE),"Unknown")</f>
        <v>APAC</v>
      </c>
      <c r="G85">
        <v>2</v>
      </c>
      <c r="H85">
        <f>IF(AND(C85&lt;&gt;"",D85&lt;&gt;""),NETWORKDAYS(C85,D85),0)</f>
        <v>2</v>
      </c>
      <c r="I85" t="str">
        <f>IF(H85&gt;G85,"YES","NO")</f>
        <v>NO</v>
      </c>
      <c r="J85" t="str">
        <f>TEXT(C85,"mmm-yyyy")</f>
        <v>Feb-2026</v>
      </c>
    </row>
    <row r="86" spans="1:10" x14ac:dyDescent="0.25">
      <c r="A86" t="s">
        <v>238</v>
      </c>
      <c r="B86" t="s">
        <v>802</v>
      </c>
      <c r="C86" s="3">
        <v>45996</v>
      </c>
      <c r="D86" s="3">
        <v>46000</v>
      </c>
      <c r="E86" t="str">
        <f>IFERROR(VLOOKUP(B86,Assets_Master!A:E,5,FALSE),"Unknown")</f>
        <v>Samsung IT</v>
      </c>
      <c r="F86" t="str">
        <f>IFERROR(VLOOKUP(B86,Assets_Master!A:J,10,FALSE),"Unknown")</f>
        <v>AMER</v>
      </c>
      <c r="G86">
        <v>2</v>
      </c>
      <c r="H86">
        <f>IF(AND(C86&lt;&gt;"",D86&lt;&gt;""),NETWORKDAYS(C86,D86),0)</f>
        <v>3</v>
      </c>
      <c r="I86" t="str">
        <f>IF(H86&gt;G86,"YES","NO")</f>
        <v>YES</v>
      </c>
      <c r="J86" t="str">
        <f>TEXT(C86,"mmm-yyyy")</f>
        <v>Dec-2025</v>
      </c>
    </row>
    <row r="87" spans="1:10" x14ac:dyDescent="0.25">
      <c r="A87" t="s">
        <v>239</v>
      </c>
      <c r="B87" t="s">
        <v>1522</v>
      </c>
      <c r="C87" s="3">
        <v>46003</v>
      </c>
      <c r="D87" s="3">
        <v>46006</v>
      </c>
      <c r="E87" t="str">
        <f>IFERROR(VLOOKUP(B87,Assets_Master!A:E,5,FALSE),"Unknown")</f>
        <v>Samsung IT</v>
      </c>
      <c r="F87" t="str">
        <f>IFERROR(VLOOKUP(B87,Assets_Master!A:J,10,FALSE),"Unknown")</f>
        <v>AMER</v>
      </c>
      <c r="G87">
        <v>2</v>
      </c>
      <c r="H87">
        <f>IF(AND(C87&lt;&gt;"",D87&lt;&gt;""),NETWORKDAYS(C87,D87),0)</f>
        <v>2</v>
      </c>
      <c r="I87" t="str">
        <f>IF(H87&gt;G87,"YES","NO")</f>
        <v>NO</v>
      </c>
      <c r="J87" t="str">
        <f>TEXT(C87,"mmm-yyyy")</f>
        <v>Dec-2025</v>
      </c>
    </row>
    <row r="88" spans="1:10" x14ac:dyDescent="0.25">
      <c r="A88" t="s">
        <v>240</v>
      </c>
      <c r="B88" t="s">
        <v>1057</v>
      </c>
      <c r="C88" s="3">
        <v>46059</v>
      </c>
      <c r="D88" s="3">
        <v>46063</v>
      </c>
      <c r="E88" t="str">
        <f>IFERROR(VLOOKUP(B88,Assets_Master!A:E,5,FALSE),"Unknown")</f>
        <v>Lenovo Pro</v>
      </c>
      <c r="F88" t="str">
        <f>IFERROR(VLOOKUP(B88,Assets_Master!A:J,10,FALSE),"Unknown")</f>
        <v>EMEA</v>
      </c>
      <c r="G88">
        <v>2</v>
      </c>
      <c r="H88">
        <f>IF(AND(C88&lt;&gt;"",D88&lt;&gt;""),NETWORKDAYS(C88,D88),0)</f>
        <v>3</v>
      </c>
      <c r="I88" t="str">
        <f>IF(H88&gt;G88,"YES","NO")</f>
        <v>YES</v>
      </c>
      <c r="J88" t="str">
        <f>TEXT(C88,"mmm-yyyy")</f>
        <v>Feb-2026</v>
      </c>
    </row>
    <row r="89" spans="1:10" x14ac:dyDescent="0.25">
      <c r="A89" t="s">
        <v>241</v>
      </c>
      <c r="B89" t="s">
        <v>2020</v>
      </c>
      <c r="C89" s="3">
        <v>46056</v>
      </c>
      <c r="D89" s="3">
        <v>46060</v>
      </c>
      <c r="E89" t="str">
        <f>IFERROR(VLOOKUP(B89,Assets_Master!A:E,5,FALSE),"Unknown")</f>
        <v>Dell Global</v>
      </c>
      <c r="F89" t="str">
        <f>IFERROR(VLOOKUP(B89,Assets_Master!A:J,10,FALSE),"Unknown")</f>
        <v>AMER</v>
      </c>
      <c r="G89">
        <v>2</v>
      </c>
      <c r="H89">
        <f>IF(AND(C89&lt;&gt;"",D89&lt;&gt;""),NETWORKDAYS(C89,D89),0)</f>
        <v>4</v>
      </c>
      <c r="I89" t="str">
        <f>IF(H89&gt;G89,"YES","NO")</f>
        <v>YES</v>
      </c>
      <c r="J89" t="str">
        <f>TEXT(C89,"mmm-yyyy")</f>
        <v>Feb-2026</v>
      </c>
    </row>
    <row r="90" spans="1:10" x14ac:dyDescent="0.25">
      <c r="A90" t="s">
        <v>242</v>
      </c>
      <c r="B90" t="s">
        <v>1968</v>
      </c>
      <c r="C90" s="3">
        <v>46027</v>
      </c>
      <c r="D90" s="3">
        <v>46032</v>
      </c>
      <c r="E90" t="str">
        <f>IFERROR(VLOOKUP(B90,Assets_Master!A:E,5,FALSE),"Unknown")</f>
        <v>Apple Enterprise</v>
      </c>
      <c r="F90" t="str">
        <f>IFERROR(VLOOKUP(B90,Assets_Master!A:J,10,FALSE),"Unknown")</f>
        <v>LATAM</v>
      </c>
      <c r="G90">
        <v>2</v>
      </c>
      <c r="H90">
        <f>IF(AND(C90&lt;&gt;"",D90&lt;&gt;""),NETWORKDAYS(C90,D90),0)</f>
        <v>5</v>
      </c>
      <c r="I90" t="str">
        <f>IF(H90&gt;G90,"YES","NO")</f>
        <v>YES</v>
      </c>
      <c r="J90" t="str">
        <f>TEXT(C90,"mmm-yyyy")</f>
        <v>Jan-2026</v>
      </c>
    </row>
    <row r="91" spans="1:10" x14ac:dyDescent="0.25">
      <c r="A91" t="s">
        <v>243</v>
      </c>
      <c r="B91" t="s">
        <v>1983</v>
      </c>
      <c r="C91" s="3">
        <v>46051</v>
      </c>
      <c r="D91" s="3">
        <v>46054</v>
      </c>
      <c r="E91" t="str">
        <f>IFERROR(VLOOKUP(B91,Assets_Master!A:E,5,FALSE),"Unknown")</f>
        <v>Cisco Systems</v>
      </c>
      <c r="F91" t="str">
        <f>IFERROR(VLOOKUP(B91,Assets_Master!A:J,10,FALSE),"Unknown")</f>
        <v>EMEA</v>
      </c>
      <c r="G91">
        <v>2</v>
      </c>
      <c r="H91">
        <f>IF(AND(C91&lt;&gt;"",D91&lt;&gt;""),NETWORKDAYS(C91,D91),0)</f>
        <v>2</v>
      </c>
      <c r="I91" t="str">
        <f>IF(H91&gt;G91,"YES","NO")</f>
        <v>NO</v>
      </c>
      <c r="J91" t="str">
        <f>TEXT(C91,"mmm-yyyy")</f>
        <v>Jan-2026</v>
      </c>
    </row>
    <row r="92" spans="1:10" x14ac:dyDescent="0.25">
      <c r="A92" t="s">
        <v>244</v>
      </c>
      <c r="B92" t="s">
        <v>1992</v>
      </c>
      <c r="C92" s="3">
        <v>45982</v>
      </c>
      <c r="D92" s="3">
        <v>45984</v>
      </c>
      <c r="E92" t="str">
        <f>IFERROR(VLOOKUP(B92,Assets_Master!A:E,5,FALSE),"Unknown")</f>
        <v>Cisco Systems</v>
      </c>
      <c r="F92" t="str">
        <f>IFERROR(VLOOKUP(B92,Assets_Master!A:J,10,FALSE),"Unknown")</f>
        <v>APAC</v>
      </c>
      <c r="G92">
        <v>2</v>
      </c>
      <c r="H92">
        <f>IF(AND(C92&lt;&gt;"",D92&lt;&gt;""),NETWORKDAYS(C92,D92),0)</f>
        <v>1</v>
      </c>
      <c r="I92" t="str">
        <f>IF(H92&gt;G92,"YES","NO")</f>
        <v>NO</v>
      </c>
      <c r="J92" t="str">
        <f>TEXT(C92,"mmm-yyyy")</f>
        <v>Nov-2025</v>
      </c>
    </row>
    <row r="93" spans="1:10" x14ac:dyDescent="0.25">
      <c r="A93" t="s">
        <v>245</v>
      </c>
      <c r="B93" t="s">
        <v>1975</v>
      </c>
      <c r="C93" s="3">
        <v>46027</v>
      </c>
      <c r="D93" s="3">
        <v>46032</v>
      </c>
      <c r="E93" t="str">
        <f>IFERROR(VLOOKUP(B93,Assets_Master!A:E,5,FALSE),"Unknown")</f>
        <v>Cisco Systems</v>
      </c>
      <c r="F93" t="str">
        <f>IFERROR(VLOOKUP(B93,Assets_Master!A:J,10,FALSE),"Unknown")</f>
        <v>APAC</v>
      </c>
      <c r="G93">
        <v>2</v>
      </c>
      <c r="H93">
        <f>IF(AND(C93&lt;&gt;"",D93&lt;&gt;""),NETWORKDAYS(C93,D93),0)</f>
        <v>5</v>
      </c>
      <c r="I93" t="str">
        <f>IF(H93&gt;G93,"YES","NO")</f>
        <v>YES</v>
      </c>
      <c r="J93" t="str">
        <f>TEXT(C93,"mmm-yyyy")</f>
        <v>Jan-2026</v>
      </c>
    </row>
    <row r="94" spans="1:10" x14ac:dyDescent="0.25">
      <c r="A94" t="s">
        <v>246</v>
      </c>
      <c r="B94" t="s">
        <v>1799</v>
      </c>
      <c r="C94" s="3">
        <v>46032</v>
      </c>
      <c r="D94" s="3">
        <v>46034</v>
      </c>
      <c r="E94" t="str">
        <f>IFERROR(VLOOKUP(B94,Assets_Master!A:E,5,FALSE),"Unknown")</f>
        <v>Dell Global</v>
      </c>
      <c r="F94" t="str">
        <f>IFERROR(VLOOKUP(B94,Assets_Master!A:J,10,FALSE),"Unknown")</f>
        <v>EMEA</v>
      </c>
      <c r="G94">
        <v>2</v>
      </c>
      <c r="H94">
        <f>IF(AND(C94&lt;&gt;"",D94&lt;&gt;""),NETWORKDAYS(C94,D94),0)</f>
        <v>1</v>
      </c>
      <c r="I94" t="str">
        <f>IF(H94&gt;G94,"YES","NO")</f>
        <v>NO</v>
      </c>
      <c r="J94" t="str">
        <f>TEXT(C94,"mmm-yyyy")</f>
        <v>Jan-2026</v>
      </c>
    </row>
    <row r="95" spans="1:10" x14ac:dyDescent="0.25">
      <c r="A95" t="s">
        <v>247</v>
      </c>
      <c r="B95" t="s">
        <v>1105</v>
      </c>
      <c r="C95" s="3">
        <v>46024</v>
      </c>
      <c r="D95" s="3">
        <v>46026</v>
      </c>
      <c r="E95" t="str">
        <f>IFERROR(VLOOKUP(B95,Assets_Master!A:E,5,FALSE),"Unknown")</f>
        <v>HP Inc</v>
      </c>
      <c r="F95" t="str">
        <f>IFERROR(VLOOKUP(B95,Assets_Master!A:J,10,FALSE),"Unknown")</f>
        <v>LATAM</v>
      </c>
      <c r="G95">
        <v>2</v>
      </c>
      <c r="H95">
        <f>IF(AND(C95&lt;&gt;"",D95&lt;&gt;""),NETWORKDAYS(C95,D95),0)</f>
        <v>1</v>
      </c>
      <c r="I95" t="str">
        <f>IF(H95&gt;G95,"YES","NO")</f>
        <v>NO</v>
      </c>
      <c r="J95" t="str">
        <f>TEXT(C95,"mmm-yyyy")</f>
        <v>Jan-2026</v>
      </c>
    </row>
    <row r="96" spans="1:10" x14ac:dyDescent="0.25">
      <c r="A96" t="s">
        <v>248</v>
      </c>
      <c r="B96" t="s">
        <v>1799</v>
      </c>
      <c r="C96" s="3">
        <v>46044</v>
      </c>
      <c r="D96" s="3">
        <v>46047</v>
      </c>
      <c r="E96" t="str">
        <f>IFERROR(VLOOKUP(B96,Assets_Master!A:E,5,FALSE),"Unknown")</f>
        <v>Dell Global</v>
      </c>
      <c r="F96" t="str">
        <f>IFERROR(VLOOKUP(B96,Assets_Master!A:J,10,FALSE),"Unknown")</f>
        <v>EMEA</v>
      </c>
      <c r="G96">
        <v>2</v>
      </c>
      <c r="H96">
        <f>IF(AND(C96&lt;&gt;"",D96&lt;&gt;""),NETWORKDAYS(C96,D96),0)</f>
        <v>2</v>
      </c>
      <c r="I96" t="str">
        <f>IF(H96&gt;G96,"YES","NO")</f>
        <v>NO</v>
      </c>
      <c r="J96" t="str">
        <f>TEXT(C96,"mmm-yyyy")</f>
        <v>Jan-2026</v>
      </c>
    </row>
    <row r="97" spans="1:10" x14ac:dyDescent="0.25">
      <c r="A97" t="s">
        <v>249</v>
      </c>
      <c r="B97" t="s">
        <v>796</v>
      </c>
      <c r="C97" s="3">
        <v>46058</v>
      </c>
      <c r="D97" s="3">
        <v>46061</v>
      </c>
      <c r="E97" t="str">
        <f>IFERROR(VLOOKUP(B97,Assets_Master!A:E,5,FALSE),"Unknown")</f>
        <v>Fujitsu</v>
      </c>
      <c r="F97" t="str">
        <f>IFERROR(VLOOKUP(B97,Assets_Master!A:J,10,FALSE),"Unknown")</f>
        <v>EMEA</v>
      </c>
      <c r="G97">
        <v>2</v>
      </c>
      <c r="H97">
        <f>IF(AND(C97&lt;&gt;"",D97&lt;&gt;""),NETWORKDAYS(C97,D97),0)</f>
        <v>2</v>
      </c>
      <c r="I97" t="str">
        <f>IF(H97&gt;G97,"YES","NO")</f>
        <v>NO</v>
      </c>
      <c r="J97" t="str">
        <f>TEXT(C97,"mmm-yyyy")</f>
        <v>Feb-2026</v>
      </c>
    </row>
    <row r="98" spans="1:10" x14ac:dyDescent="0.25">
      <c r="A98" t="s">
        <v>250</v>
      </c>
      <c r="B98" t="s">
        <v>1927</v>
      </c>
      <c r="C98" s="3">
        <v>46017</v>
      </c>
      <c r="D98" s="3">
        <v>46019</v>
      </c>
      <c r="E98" t="str">
        <f>IFERROR(VLOOKUP(B98,Assets_Master!A:E,5,FALSE),"Unknown")</f>
        <v>Dell Global</v>
      </c>
      <c r="F98" t="str">
        <f>IFERROR(VLOOKUP(B98,Assets_Master!A:J,10,FALSE),"Unknown")</f>
        <v>LATAM</v>
      </c>
      <c r="G98">
        <v>2</v>
      </c>
      <c r="H98">
        <f>IF(AND(C98&lt;&gt;"",D98&lt;&gt;""),NETWORKDAYS(C98,D98),0)</f>
        <v>1</v>
      </c>
      <c r="I98" t="str">
        <f>IF(H98&gt;G98,"YES","NO")</f>
        <v>NO</v>
      </c>
      <c r="J98" t="str">
        <f>TEXT(C98,"mmm-yyyy")</f>
        <v>Dec-2025</v>
      </c>
    </row>
    <row r="99" spans="1:10" x14ac:dyDescent="0.25">
      <c r="A99" t="s">
        <v>251</v>
      </c>
      <c r="B99" t="s">
        <v>1787</v>
      </c>
      <c r="C99" s="3">
        <v>46023</v>
      </c>
      <c r="D99" s="3">
        <v>46026</v>
      </c>
      <c r="E99" t="str">
        <f>IFERROR(VLOOKUP(B99,Assets_Master!A:E,5,FALSE),"Unknown")</f>
        <v>Dell Global</v>
      </c>
      <c r="F99" t="str">
        <f>IFERROR(VLOOKUP(B99,Assets_Master!A:J,10,FALSE),"Unknown")</f>
        <v>LATAM</v>
      </c>
      <c r="G99">
        <v>2</v>
      </c>
      <c r="H99">
        <f>IF(AND(C99&lt;&gt;"",D99&lt;&gt;""),NETWORKDAYS(C99,D99),0)</f>
        <v>2</v>
      </c>
      <c r="I99" t="str">
        <f>IF(H99&gt;G99,"YES","NO")</f>
        <v>NO</v>
      </c>
      <c r="J99" t="str">
        <f>TEXT(C99,"mmm-yyyy")</f>
        <v>Jan-2026</v>
      </c>
    </row>
    <row r="100" spans="1:10" x14ac:dyDescent="0.25">
      <c r="A100" t="s">
        <v>252</v>
      </c>
      <c r="B100" t="s">
        <v>688</v>
      </c>
      <c r="C100" s="3">
        <v>46023</v>
      </c>
      <c r="D100" s="3">
        <v>46028</v>
      </c>
      <c r="E100" t="str">
        <f>IFERROR(VLOOKUP(B100,Assets_Master!A:E,5,FALSE),"Unknown")</f>
        <v>Dell Global</v>
      </c>
      <c r="F100" t="str">
        <f>IFERROR(VLOOKUP(B100,Assets_Master!A:J,10,FALSE),"Unknown")</f>
        <v>APAC</v>
      </c>
      <c r="G100">
        <v>2</v>
      </c>
      <c r="H100">
        <f>IF(AND(C100&lt;&gt;"",D100&lt;&gt;""),NETWORKDAYS(C100,D100),0)</f>
        <v>4</v>
      </c>
      <c r="I100" t="str">
        <f>IF(H100&gt;G100,"YES","NO")</f>
        <v>YES</v>
      </c>
      <c r="J100" t="str">
        <f>TEXT(C100,"mmm-yyyy")</f>
        <v>Jan-2026</v>
      </c>
    </row>
    <row r="101" spans="1:10" x14ac:dyDescent="0.25">
      <c r="A101" t="s">
        <v>253</v>
      </c>
      <c r="B101" t="s">
        <v>1344</v>
      </c>
      <c r="C101" s="3">
        <v>46014</v>
      </c>
      <c r="D101" s="3">
        <v>46017</v>
      </c>
      <c r="E101" t="str">
        <f>IFERROR(VLOOKUP(B101,Assets_Master!A:E,5,FALSE),"Unknown")</f>
        <v>Dell Global</v>
      </c>
      <c r="F101" t="str">
        <f>IFERROR(VLOOKUP(B101,Assets_Master!A:J,10,FALSE),"Unknown")</f>
        <v>APAC</v>
      </c>
      <c r="G101">
        <v>2</v>
      </c>
      <c r="H101">
        <f>IF(AND(C101&lt;&gt;"",D101&lt;&gt;""),NETWORKDAYS(C101,D101),0)</f>
        <v>4</v>
      </c>
      <c r="I101" t="str">
        <f>IF(H101&gt;G101,"YES","NO")</f>
        <v>YES</v>
      </c>
      <c r="J101" t="str">
        <f>TEXT(C101,"mmm-yyyy")</f>
        <v>Dec-2025</v>
      </c>
    </row>
    <row r="102" spans="1:10" x14ac:dyDescent="0.25">
      <c r="A102" t="s">
        <v>254</v>
      </c>
      <c r="B102" t="s">
        <v>1935</v>
      </c>
      <c r="C102" s="3">
        <v>46044</v>
      </c>
      <c r="D102" s="3">
        <v>46048</v>
      </c>
      <c r="E102" t="str">
        <f>IFERROR(VLOOKUP(B102,Assets_Master!A:E,5,FALSE),"Unknown")</f>
        <v>Dell Global</v>
      </c>
      <c r="F102" t="str">
        <f>IFERROR(VLOOKUP(B102,Assets_Master!A:J,10,FALSE),"Unknown")</f>
        <v>APAC</v>
      </c>
      <c r="G102">
        <v>2</v>
      </c>
      <c r="H102">
        <f>IF(AND(C102&lt;&gt;"",D102&lt;&gt;""),NETWORKDAYS(C102,D102),0)</f>
        <v>3</v>
      </c>
      <c r="I102" t="str">
        <f>IF(H102&gt;G102,"YES","NO")</f>
        <v>YES</v>
      </c>
      <c r="J102" t="str">
        <f>TEXT(C102,"mmm-yyyy")</f>
        <v>Jan-2026</v>
      </c>
    </row>
    <row r="103" spans="1:10" x14ac:dyDescent="0.25">
      <c r="A103" t="s">
        <v>255</v>
      </c>
      <c r="B103" t="s">
        <v>1219</v>
      </c>
      <c r="C103" s="3">
        <v>46020</v>
      </c>
      <c r="D103" s="3">
        <v>46024</v>
      </c>
      <c r="E103" t="str">
        <f>IFERROR(VLOOKUP(B103,Assets_Master!A:E,5,FALSE),"Unknown")</f>
        <v>Lenovo Pro</v>
      </c>
      <c r="F103" t="str">
        <f>IFERROR(VLOOKUP(B103,Assets_Master!A:J,10,FALSE),"Unknown")</f>
        <v>EMEA</v>
      </c>
      <c r="G103">
        <v>2</v>
      </c>
      <c r="H103">
        <f>IF(AND(C103&lt;&gt;"",D103&lt;&gt;""),NETWORKDAYS(C103,D103),0)</f>
        <v>5</v>
      </c>
      <c r="I103" t="str">
        <f>IF(H103&gt;G103,"YES","NO")</f>
        <v>YES</v>
      </c>
      <c r="J103" t="str">
        <f>TEXT(C103,"mmm-yyyy")</f>
        <v>Dec-2025</v>
      </c>
    </row>
    <row r="104" spans="1:10" x14ac:dyDescent="0.25">
      <c r="A104" t="s">
        <v>256</v>
      </c>
      <c r="B104" t="s">
        <v>683</v>
      </c>
      <c r="C104" s="3">
        <v>46048</v>
      </c>
      <c r="D104" s="3">
        <v>46051</v>
      </c>
      <c r="E104" t="str">
        <f>IFERROR(VLOOKUP(B104,Assets_Master!A:E,5,FALSE),"Unknown")</f>
        <v>Samsung IT</v>
      </c>
      <c r="F104" t="str">
        <f>IFERROR(VLOOKUP(B104,Assets_Master!A:J,10,FALSE),"Unknown")</f>
        <v>EMEA</v>
      </c>
      <c r="G104">
        <v>2</v>
      </c>
      <c r="H104">
        <f>IF(AND(C104&lt;&gt;"",D104&lt;&gt;""),NETWORKDAYS(C104,D104),0)</f>
        <v>4</v>
      </c>
      <c r="I104" t="str">
        <f>IF(H104&gt;G104,"YES","NO")</f>
        <v>YES</v>
      </c>
      <c r="J104" t="str">
        <f>TEXT(C104,"mmm-yyyy")</f>
        <v>Jan-2026</v>
      </c>
    </row>
    <row r="105" spans="1:10" x14ac:dyDescent="0.25">
      <c r="A105" t="s">
        <v>257</v>
      </c>
      <c r="B105" t="s">
        <v>908</v>
      </c>
      <c r="C105" s="3">
        <v>46021</v>
      </c>
      <c r="D105" s="3">
        <v>46025</v>
      </c>
      <c r="E105" t="str">
        <f>IFERROR(VLOOKUP(B105,Assets_Master!A:E,5,FALSE),"Unknown")</f>
        <v>Fujitsu</v>
      </c>
      <c r="F105" t="str">
        <f>IFERROR(VLOOKUP(B105,Assets_Master!A:J,10,FALSE),"Unknown")</f>
        <v>EMEA</v>
      </c>
      <c r="G105">
        <v>2</v>
      </c>
      <c r="H105">
        <f>IF(AND(C105&lt;&gt;"",D105&lt;&gt;""),NETWORKDAYS(C105,D105),0)</f>
        <v>4</v>
      </c>
      <c r="I105" t="str">
        <f>IF(H105&gt;G105,"YES","NO")</f>
        <v>YES</v>
      </c>
      <c r="J105" t="str">
        <f>TEXT(C105,"mmm-yyyy")</f>
        <v>Dec-2025</v>
      </c>
    </row>
    <row r="106" spans="1:10" x14ac:dyDescent="0.25">
      <c r="A106" t="s">
        <v>258</v>
      </c>
      <c r="B106" t="s">
        <v>1582</v>
      </c>
      <c r="C106" s="3">
        <v>46026</v>
      </c>
      <c r="D106" s="3">
        <v>46029</v>
      </c>
      <c r="E106" t="str">
        <f>IFERROR(VLOOKUP(B106,Assets_Master!A:E,5,FALSE),"Unknown")</f>
        <v>Dell Global</v>
      </c>
      <c r="F106" t="str">
        <f>IFERROR(VLOOKUP(B106,Assets_Master!A:J,10,FALSE),"Unknown")</f>
        <v>APAC</v>
      </c>
      <c r="G106">
        <v>2</v>
      </c>
      <c r="H106">
        <f>IF(AND(C106&lt;&gt;"",D106&lt;&gt;""),NETWORKDAYS(C106,D106),0)</f>
        <v>3</v>
      </c>
      <c r="I106" t="str">
        <f>IF(H106&gt;G106,"YES","NO")</f>
        <v>YES</v>
      </c>
      <c r="J106" t="str">
        <f>TEXT(C106,"mmm-yyyy")</f>
        <v>Jan-2026</v>
      </c>
    </row>
    <row r="107" spans="1:10" x14ac:dyDescent="0.25">
      <c r="A107" t="s">
        <v>259</v>
      </c>
      <c r="B107" t="s">
        <v>1231</v>
      </c>
      <c r="C107" s="3">
        <v>45996</v>
      </c>
      <c r="D107" s="3">
        <v>46000</v>
      </c>
      <c r="E107" t="str">
        <f>IFERROR(VLOOKUP(B107,Assets_Master!A:E,5,FALSE),"Unknown")</f>
        <v>Fujitsu</v>
      </c>
      <c r="F107" t="str">
        <f>IFERROR(VLOOKUP(B107,Assets_Master!A:J,10,FALSE),"Unknown")</f>
        <v>LATAM</v>
      </c>
      <c r="G107">
        <v>2</v>
      </c>
      <c r="H107">
        <f>IF(AND(C107&lt;&gt;"",D107&lt;&gt;""),NETWORKDAYS(C107,D107),0)</f>
        <v>3</v>
      </c>
      <c r="I107" t="str">
        <f>IF(H107&gt;G107,"YES","NO")</f>
        <v>YES</v>
      </c>
      <c r="J107" t="str">
        <f>TEXT(C107,"mmm-yyyy")</f>
        <v>Dec-2025</v>
      </c>
    </row>
    <row r="108" spans="1:10" x14ac:dyDescent="0.25">
      <c r="A108" t="s">
        <v>260</v>
      </c>
      <c r="B108" t="s">
        <v>1760</v>
      </c>
      <c r="C108" s="3">
        <v>46030</v>
      </c>
      <c r="D108" s="3">
        <v>46035</v>
      </c>
      <c r="E108" t="str">
        <f>IFERROR(VLOOKUP(B108,Assets_Master!A:E,5,FALSE),"Unknown")</f>
        <v>Dell Global</v>
      </c>
      <c r="F108" t="str">
        <f>IFERROR(VLOOKUP(B108,Assets_Master!A:J,10,FALSE),"Unknown")</f>
        <v>AMER</v>
      </c>
      <c r="G108">
        <v>2</v>
      </c>
      <c r="H108">
        <f>IF(AND(C108&lt;&gt;"",D108&lt;&gt;""),NETWORKDAYS(C108,D108),0)</f>
        <v>4</v>
      </c>
      <c r="I108" t="str">
        <f>IF(H108&gt;G108,"YES","NO")</f>
        <v>YES</v>
      </c>
      <c r="J108" t="str">
        <f>TEXT(C108,"mmm-yyyy")</f>
        <v>Jan-2026</v>
      </c>
    </row>
    <row r="109" spans="1:10" x14ac:dyDescent="0.25">
      <c r="A109" t="s">
        <v>261</v>
      </c>
      <c r="B109" t="s">
        <v>1749</v>
      </c>
      <c r="C109" s="3">
        <v>46014</v>
      </c>
      <c r="D109" s="3">
        <v>46017</v>
      </c>
      <c r="E109" t="str">
        <f>IFERROR(VLOOKUP(B109,Assets_Master!A:E,5,FALSE),"Unknown")</f>
        <v>Apple Enterprise</v>
      </c>
      <c r="F109" t="str">
        <f>IFERROR(VLOOKUP(B109,Assets_Master!A:J,10,FALSE),"Unknown")</f>
        <v>LATAM</v>
      </c>
      <c r="G109">
        <v>2</v>
      </c>
      <c r="H109">
        <f>IF(AND(C109&lt;&gt;"",D109&lt;&gt;""),NETWORKDAYS(C109,D109),0)</f>
        <v>4</v>
      </c>
      <c r="I109" t="str">
        <f>IF(H109&gt;G109,"YES","NO")</f>
        <v>YES</v>
      </c>
      <c r="J109" t="str">
        <f>TEXT(C109,"mmm-yyyy")</f>
        <v>Dec-2025</v>
      </c>
    </row>
    <row r="110" spans="1:10" x14ac:dyDescent="0.25">
      <c r="A110" t="s">
        <v>262</v>
      </c>
      <c r="B110" t="s">
        <v>2020</v>
      </c>
      <c r="C110" s="3">
        <v>46058</v>
      </c>
      <c r="D110" s="3">
        <v>46061</v>
      </c>
      <c r="E110" t="str">
        <f>IFERROR(VLOOKUP(B110,Assets_Master!A:E,5,FALSE),"Unknown")</f>
        <v>Dell Global</v>
      </c>
      <c r="F110" t="str">
        <f>IFERROR(VLOOKUP(B110,Assets_Master!A:J,10,FALSE),"Unknown")</f>
        <v>AMER</v>
      </c>
      <c r="G110">
        <v>2</v>
      </c>
      <c r="H110">
        <f>IF(AND(C110&lt;&gt;"",D110&lt;&gt;""),NETWORKDAYS(C110,D110),0)</f>
        <v>2</v>
      </c>
      <c r="I110" t="str">
        <f>IF(H110&gt;G110,"YES","NO")</f>
        <v>NO</v>
      </c>
      <c r="J110" t="str">
        <f>TEXT(C110,"mmm-yyyy")</f>
        <v>Feb-2026</v>
      </c>
    </row>
    <row r="111" spans="1:10" x14ac:dyDescent="0.25">
      <c r="A111" t="s">
        <v>263</v>
      </c>
      <c r="B111" t="s">
        <v>1158</v>
      </c>
      <c r="C111" s="3">
        <v>45986</v>
      </c>
      <c r="D111" s="3">
        <v>45989</v>
      </c>
      <c r="E111" t="str">
        <f>IFERROR(VLOOKUP(B111,Assets_Master!A:E,5,FALSE),"Unknown")</f>
        <v>Apple Enterprise</v>
      </c>
      <c r="F111" t="str">
        <f>IFERROR(VLOOKUP(B111,Assets_Master!A:J,10,FALSE),"Unknown")</f>
        <v>APAC</v>
      </c>
      <c r="G111">
        <v>2</v>
      </c>
      <c r="H111">
        <f>IF(AND(C111&lt;&gt;"",D111&lt;&gt;""),NETWORKDAYS(C111,D111),0)</f>
        <v>4</v>
      </c>
      <c r="I111" t="str">
        <f>IF(H111&gt;G111,"YES","NO")</f>
        <v>YES</v>
      </c>
      <c r="J111" t="str">
        <f>TEXT(C111,"mmm-yyyy")</f>
        <v>Nov-2025</v>
      </c>
    </row>
    <row r="112" spans="1:10" x14ac:dyDescent="0.25">
      <c r="A112" t="s">
        <v>264</v>
      </c>
      <c r="B112" t="s">
        <v>1158</v>
      </c>
      <c r="C112" s="3">
        <v>46066</v>
      </c>
      <c r="D112" s="3">
        <v>46071</v>
      </c>
      <c r="E112" t="str">
        <f>IFERROR(VLOOKUP(B112,Assets_Master!A:E,5,FALSE),"Unknown")</f>
        <v>Apple Enterprise</v>
      </c>
      <c r="F112" t="str">
        <f>IFERROR(VLOOKUP(B112,Assets_Master!A:J,10,FALSE),"Unknown")</f>
        <v>APAC</v>
      </c>
      <c r="G112">
        <v>2</v>
      </c>
      <c r="H112">
        <f>IF(AND(C112&lt;&gt;"",D112&lt;&gt;""),NETWORKDAYS(C112,D112),0)</f>
        <v>4</v>
      </c>
      <c r="I112" t="str">
        <f>IF(H112&gt;G112,"YES","NO")</f>
        <v>YES</v>
      </c>
      <c r="J112" t="str">
        <f>TEXT(C112,"mmm-yyyy")</f>
        <v>Feb-2026</v>
      </c>
    </row>
    <row r="113" spans="1:10" x14ac:dyDescent="0.25">
      <c r="A113" t="s">
        <v>265</v>
      </c>
      <c r="B113" t="s">
        <v>616</v>
      </c>
      <c r="C113" s="3">
        <v>45989</v>
      </c>
      <c r="D113" s="3">
        <v>45993</v>
      </c>
      <c r="E113" t="str">
        <f>IFERROR(VLOOKUP(B113,Assets_Master!A:E,5,FALSE),"Unknown")</f>
        <v>Fujitsu</v>
      </c>
      <c r="F113" t="str">
        <f>IFERROR(VLOOKUP(B113,Assets_Master!A:J,10,FALSE),"Unknown")</f>
        <v>LATAM</v>
      </c>
      <c r="G113">
        <v>2</v>
      </c>
      <c r="H113">
        <f>IF(AND(C113&lt;&gt;"",D113&lt;&gt;""),NETWORKDAYS(C113,D113),0)</f>
        <v>3</v>
      </c>
      <c r="I113" t="str">
        <f>IF(H113&gt;G113,"YES","NO")</f>
        <v>YES</v>
      </c>
      <c r="J113" t="str">
        <f>TEXT(C113,"mmm-yyyy")</f>
        <v>Nov-2025</v>
      </c>
    </row>
    <row r="114" spans="1:10" x14ac:dyDescent="0.25">
      <c r="A114" t="s">
        <v>266</v>
      </c>
      <c r="B114" t="s">
        <v>1769</v>
      </c>
      <c r="C114" s="3">
        <v>45990</v>
      </c>
      <c r="D114" s="3">
        <v>45992</v>
      </c>
      <c r="E114" t="str">
        <f>IFERROR(VLOOKUP(B114,Assets_Master!A:E,5,FALSE),"Unknown")</f>
        <v>HP Inc</v>
      </c>
      <c r="F114" t="str">
        <f>IFERROR(VLOOKUP(B114,Assets_Master!A:J,10,FALSE),"Unknown")</f>
        <v>LATAM</v>
      </c>
      <c r="G114">
        <v>2</v>
      </c>
      <c r="H114">
        <f>IF(AND(C114&lt;&gt;"",D114&lt;&gt;""),NETWORKDAYS(C114,D114),0)</f>
        <v>1</v>
      </c>
      <c r="I114" t="str">
        <f>IF(H114&gt;G114,"YES","NO")</f>
        <v>NO</v>
      </c>
      <c r="J114" t="str">
        <f>TEXT(C114,"mmm-yyyy")</f>
        <v>Nov-2025</v>
      </c>
    </row>
    <row r="115" spans="1:10" x14ac:dyDescent="0.25">
      <c r="A115" t="s">
        <v>267</v>
      </c>
      <c r="B115" t="s">
        <v>658</v>
      </c>
      <c r="C115" s="3">
        <v>45996</v>
      </c>
      <c r="D115" s="3">
        <v>46001</v>
      </c>
      <c r="E115" t="str">
        <f>IFERROR(VLOOKUP(B115,Assets_Master!A:E,5,FALSE),"Unknown")</f>
        <v>Samsung IT</v>
      </c>
      <c r="F115" t="str">
        <f>IFERROR(VLOOKUP(B115,Assets_Master!A:J,10,FALSE),"Unknown")</f>
        <v>AMER</v>
      </c>
      <c r="G115">
        <v>2</v>
      </c>
      <c r="H115">
        <f>IF(AND(C115&lt;&gt;"",D115&lt;&gt;""),NETWORKDAYS(C115,D115),0)</f>
        <v>4</v>
      </c>
      <c r="I115" t="str">
        <f>IF(H115&gt;G115,"YES","NO")</f>
        <v>YES</v>
      </c>
      <c r="J115" t="str">
        <f>TEXT(C115,"mmm-yyyy")</f>
        <v>Dec-2025</v>
      </c>
    </row>
    <row r="116" spans="1:10" x14ac:dyDescent="0.25">
      <c r="A116" t="s">
        <v>268</v>
      </c>
      <c r="B116" t="s">
        <v>1299</v>
      </c>
      <c r="C116" s="3">
        <v>46006</v>
      </c>
      <c r="D116" s="3">
        <v>46010</v>
      </c>
      <c r="E116" t="str">
        <f>IFERROR(VLOOKUP(B116,Assets_Master!A:E,5,FALSE),"Unknown")</f>
        <v>Lenovo Pro</v>
      </c>
      <c r="F116" t="str">
        <f>IFERROR(VLOOKUP(B116,Assets_Master!A:J,10,FALSE),"Unknown")</f>
        <v>AMER</v>
      </c>
      <c r="G116">
        <v>2</v>
      </c>
      <c r="H116">
        <f>IF(AND(C116&lt;&gt;"",D116&lt;&gt;""),NETWORKDAYS(C116,D116),0)</f>
        <v>5</v>
      </c>
      <c r="I116" t="str">
        <f>IF(H116&gt;G116,"YES","NO")</f>
        <v>YES</v>
      </c>
      <c r="J116" t="str">
        <f>TEXT(C116,"mmm-yyyy")</f>
        <v>Dec-2025</v>
      </c>
    </row>
    <row r="117" spans="1:10" x14ac:dyDescent="0.25">
      <c r="A117" t="s">
        <v>269</v>
      </c>
      <c r="B117" t="s">
        <v>1192</v>
      </c>
      <c r="C117" s="3">
        <v>46044</v>
      </c>
      <c r="D117" s="3">
        <v>46048</v>
      </c>
      <c r="E117" t="str">
        <f>IFERROR(VLOOKUP(B117,Assets_Master!A:E,5,FALSE),"Unknown")</f>
        <v>Fujitsu</v>
      </c>
      <c r="F117" t="str">
        <f>IFERROR(VLOOKUP(B117,Assets_Master!A:J,10,FALSE),"Unknown")</f>
        <v>LATAM</v>
      </c>
      <c r="G117">
        <v>2</v>
      </c>
      <c r="H117">
        <f>IF(AND(C117&lt;&gt;"",D117&lt;&gt;""),NETWORKDAYS(C117,D117),0)</f>
        <v>3</v>
      </c>
      <c r="I117" t="str">
        <f>IF(H117&gt;G117,"YES","NO")</f>
        <v>YES</v>
      </c>
      <c r="J117" t="str">
        <f>TEXT(C117,"mmm-yyyy")</f>
        <v>Jan-2026</v>
      </c>
    </row>
    <row r="118" spans="1:10" x14ac:dyDescent="0.25">
      <c r="A118" t="s">
        <v>270</v>
      </c>
      <c r="B118" t="s">
        <v>613</v>
      </c>
      <c r="C118" s="3">
        <v>45979</v>
      </c>
      <c r="D118" s="3">
        <v>45984</v>
      </c>
      <c r="E118" t="str">
        <f>IFERROR(VLOOKUP(B118,Assets_Master!A:E,5,FALSE),"Unknown")</f>
        <v>Lenovo Pro</v>
      </c>
      <c r="F118" t="str">
        <f>IFERROR(VLOOKUP(B118,Assets_Master!A:J,10,FALSE),"Unknown")</f>
        <v>LATAM</v>
      </c>
      <c r="G118">
        <v>2</v>
      </c>
      <c r="H118">
        <f>IF(AND(C118&lt;&gt;"",D118&lt;&gt;""),NETWORKDAYS(C118,D118),0)</f>
        <v>4</v>
      </c>
      <c r="I118" t="str">
        <f>IF(H118&gt;G118,"YES","NO")</f>
        <v>YES</v>
      </c>
      <c r="J118" t="str">
        <f>TEXT(C118,"mmm-yyyy")</f>
        <v>Nov-2025</v>
      </c>
    </row>
    <row r="119" spans="1:10" x14ac:dyDescent="0.25">
      <c r="A119" t="s">
        <v>271</v>
      </c>
      <c r="B119" t="s">
        <v>1519</v>
      </c>
      <c r="C119" s="3">
        <v>45995</v>
      </c>
      <c r="D119" s="3">
        <v>46000</v>
      </c>
      <c r="E119" t="str">
        <f>IFERROR(VLOOKUP(B119,Assets_Master!A:E,5,FALSE),"Unknown")</f>
        <v>Lenovo Pro</v>
      </c>
      <c r="F119" t="str">
        <f>IFERROR(VLOOKUP(B119,Assets_Master!A:J,10,FALSE),"Unknown")</f>
        <v>APAC</v>
      </c>
      <c r="G119">
        <v>2</v>
      </c>
      <c r="H119">
        <f>IF(AND(C119&lt;&gt;"",D119&lt;&gt;""),NETWORKDAYS(C119,D119),0)</f>
        <v>4</v>
      </c>
      <c r="I119" t="str">
        <f>IF(H119&gt;G119,"YES","NO")</f>
        <v>YES</v>
      </c>
      <c r="J119" t="str">
        <f>TEXT(C119,"mmm-yyyy")</f>
        <v>Dec-2025</v>
      </c>
    </row>
    <row r="120" spans="1:10" x14ac:dyDescent="0.25">
      <c r="A120" t="s">
        <v>272</v>
      </c>
      <c r="B120" t="s">
        <v>1476</v>
      </c>
      <c r="C120" s="3">
        <v>45987</v>
      </c>
      <c r="D120" s="3">
        <v>45989</v>
      </c>
      <c r="E120" t="str">
        <f>IFERROR(VLOOKUP(B120,Assets_Master!A:E,5,FALSE),"Unknown")</f>
        <v>Samsung IT</v>
      </c>
      <c r="F120" t="str">
        <f>IFERROR(VLOOKUP(B120,Assets_Master!A:J,10,FALSE),"Unknown")</f>
        <v>APAC</v>
      </c>
      <c r="G120">
        <v>2</v>
      </c>
      <c r="H120">
        <f>IF(AND(C120&lt;&gt;"",D120&lt;&gt;""),NETWORKDAYS(C120,D120),0)</f>
        <v>3</v>
      </c>
      <c r="I120" t="str">
        <f>IF(H120&gt;G120,"YES","NO")</f>
        <v>YES</v>
      </c>
      <c r="J120" t="str">
        <f>TEXT(C120,"mmm-yyyy")</f>
        <v>Nov-2025</v>
      </c>
    </row>
    <row r="121" spans="1:10" x14ac:dyDescent="0.25">
      <c r="A121" t="s">
        <v>273</v>
      </c>
      <c r="B121" t="s">
        <v>1178</v>
      </c>
      <c r="C121" s="3">
        <v>46050</v>
      </c>
      <c r="D121" s="3">
        <v>46055</v>
      </c>
      <c r="E121" t="str">
        <f>IFERROR(VLOOKUP(B121,Assets_Master!A:E,5,FALSE),"Unknown")</f>
        <v>Lenovo Pro</v>
      </c>
      <c r="F121" t="str">
        <f>IFERROR(VLOOKUP(B121,Assets_Master!A:J,10,FALSE),"Unknown")</f>
        <v>APAC</v>
      </c>
      <c r="G121">
        <v>2</v>
      </c>
      <c r="H121">
        <f>IF(AND(C121&lt;&gt;"",D121&lt;&gt;""),NETWORKDAYS(C121,D121),0)</f>
        <v>4</v>
      </c>
      <c r="I121" t="str">
        <f>IF(H121&gt;G121,"YES","NO")</f>
        <v>YES</v>
      </c>
      <c r="J121" t="str">
        <f>TEXT(C121,"mmm-yyyy")</f>
        <v>Jan-2026</v>
      </c>
    </row>
    <row r="122" spans="1:10" x14ac:dyDescent="0.25">
      <c r="A122" t="s">
        <v>274</v>
      </c>
      <c r="B122" t="s">
        <v>1429</v>
      </c>
      <c r="C122" s="3">
        <v>46019</v>
      </c>
      <c r="D122" s="3">
        <v>46024</v>
      </c>
      <c r="E122" t="str">
        <f>IFERROR(VLOOKUP(B122,Assets_Master!A:E,5,FALSE),"Unknown")</f>
        <v>Samsung IT</v>
      </c>
      <c r="F122" t="str">
        <f>IFERROR(VLOOKUP(B122,Assets_Master!A:J,10,FALSE),"Unknown")</f>
        <v>LATAM</v>
      </c>
      <c r="G122">
        <v>2</v>
      </c>
      <c r="H122">
        <f>IF(AND(C122&lt;&gt;"",D122&lt;&gt;""),NETWORKDAYS(C122,D122),0)</f>
        <v>5</v>
      </c>
      <c r="I122" t="str">
        <f>IF(H122&gt;G122,"YES","NO")</f>
        <v>YES</v>
      </c>
      <c r="J122" t="str">
        <f>TEXT(C122,"mmm-yyyy")</f>
        <v>Dec-2025</v>
      </c>
    </row>
    <row r="123" spans="1:10" x14ac:dyDescent="0.25">
      <c r="A123" t="s">
        <v>275</v>
      </c>
      <c r="B123" t="s">
        <v>1449</v>
      </c>
      <c r="C123" s="3">
        <v>46061</v>
      </c>
      <c r="D123" s="3">
        <v>46065</v>
      </c>
      <c r="E123" t="str">
        <f>IFERROR(VLOOKUP(B123,Assets_Master!A:E,5,FALSE),"Unknown")</f>
        <v>Samsung IT</v>
      </c>
      <c r="F123" t="str">
        <f>IFERROR(VLOOKUP(B123,Assets_Master!A:J,10,FALSE),"Unknown")</f>
        <v>EMEA</v>
      </c>
      <c r="G123">
        <v>2</v>
      </c>
      <c r="H123">
        <f>IF(AND(C123&lt;&gt;"",D123&lt;&gt;""),NETWORKDAYS(C123,D123),0)</f>
        <v>4</v>
      </c>
      <c r="I123" t="str">
        <f>IF(H123&gt;G123,"YES","NO")</f>
        <v>YES</v>
      </c>
      <c r="J123" t="str">
        <f>TEXT(C123,"mmm-yyyy")</f>
        <v>Feb-2026</v>
      </c>
    </row>
    <row r="124" spans="1:10" x14ac:dyDescent="0.25">
      <c r="A124" t="s">
        <v>276</v>
      </c>
      <c r="B124" t="s">
        <v>968</v>
      </c>
      <c r="C124" s="3">
        <v>46050</v>
      </c>
      <c r="D124" s="3">
        <v>46053</v>
      </c>
      <c r="E124" t="str">
        <f>IFERROR(VLOOKUP(B124,Assets_Master!A:E,5,FALSE),"Unknown")</f>
        <v>Lenovo Pro</v>
      </c>
      <c r="F124" t="str">
        <f>IFERROR(VLOOKUP(B124,Assets_Master!A:J,10,FALSE),"Unknown")</f>
        <v>LATAM</v>
      </c>
      <c r="G124">
        <v>2</v>
      </c>
      <c r="H124">
        <f>IF(AND(C124&lt;&gt;"",D124&lt;&gt;""),NETWORKDAYS(C124,D124),0)</f>
        <v>3</v>
      </c>
      <c r="I124" t="str">
        <f>IF(H124&gt;G124,"YES","NO")</f>
        <v>YES</v>
      </c>
      <c r="J124" t="str">
        <f>TEXT(C124,"mmm-yyyy")</f>
        <v>Jan-2026</v>
      </c>
    </row>
    <row r="125" spans="1:10" x14ac:dyDescent="0.25">
      <c r="A125" t="s">
        <v>277</v>
      </c>
      <c r="B125" t="s">
        <v>1238</v>
      </c>
      <c r="C125" s="3">
        <v>46005</v>
      </c>
      <c r="D125" s="3">
        <v>46007</v>
      </c>
      <c r="E125" t="str">
        <f>IFERROR(VLOOKUP(B125,Assets_Master!A:E,5,FALSE),"Unknown")</f>
        <v>Cisco Systems</v>
      </c>
      <c r="F125" t="str">
        <f>IFERROR(VLOOKUP(B125,Assets_Master!A:J,10,FALSE),"Unknown")</f>
        <v>LATAM</v>
      </c>
      <c r="G125">
        <v>2</v>
      </c>
      <c r="H125">
        <f>IF(AND(C125&lt;&gt;"",D125&lt;&gt;""),NETWORKDAYS(C125,D125),0)</f>
        <v>2</v>
      </c>
      <c r="I125" t="str">
        <f>IF(H125&gt;G125,"YES","NO")</f>
        <v>NO</v>
      </c>
      <c r="J125" t="str">
        <f>TEXT(C125,"mmm-yyyy")</f>
        <v>Dec-2025</v>
      </c>
    </row>
    <row r="126" spans="1:10" x14ac:dyDescent="0.25">
      <c r="A126" t="s">
        <v>278</v>
      </c>
      <c r="B126" t="s">
        <v>1153</v>
      </c>
      <c r="C126" s="3">
        <v>45998</v>
      </c>
      <c r="D126" s="3">
        <v>46000</v>
      </c>
      <c r="E126" t="str">
        <f>IFERROR(VLOOKUP(B126,Assets_Master!A:E,5,FALSE),"Unknown")</f>
        <v>Fujitsu</v>
      </c>
      <c r="F126" t="str">
        <f>IFERROR(VLOOKUP(B126,Assets_Master!A:J,10,FALSE),"Unknown")</f>
        <v>EMEA</v>
      </c>
      <c r="G126">
        <v>2</v>
      </c>
      <c r="H126">
        <f>IF(AND(C126&lt;&gt;"",D126&lt;&gt;""),NETWORKDAYS(C126,D126),0)</f>
        <v>2</v>
      </c>
      <c r="I126" t="str">
        <f>IF(H126&gt;G126,"YES","NO")</f>
        <v>NO</v>
      </c>
      <c r="J126" t="str">
        <f>TEXT(C126,"mmm-yyyy")</f>
        <v>Dec-2025</v>
      </c>
    </row>
    <row r="127" spans="1:10" x14ac:dyDescent="0.25">
      <c r="A127" t="s">
        <v>279</v>
      </c>
      <c r="B127" t="s">
        <v>780</v>
      </c>
      <c r="C127" s="3">
        <v>46061</v>
      </c>
      <c r="D127" s="3">
        <v>46065</v>
      </c>
      <c r="E127" t="str">
        <f>IFERROR(VLOOKUP(B127,Assets_Master!A:E,5,FALSE),"Unknown")</f>
        <v>HP Inc</v>
      </c>
      <c r="F127" t="str">
        <f>IFERROR(VLOOKUP(B127,Assets_Master!A:J,10,FALSE),"Unknown")</f>
        <v>AMER</v>
      </c>
      <c r="G127">
        <v>2</v>
      </c>
      <c r="H127">
        <f>IF(AND(C127&lt;&gt;"",D127&lt;&gt;""),NETWORKDAYS(C127,D127),0)</f>
        <v>4</v>
      </c>
      <c r="I127" t="str">
        <f>IF(H127&gt;G127,"YES","NO")</f>
        <v>YES</v>
      </c>
      <c r="J127" t="str">
        <f>TEXT(C127,"mmm-yyyy")</f>
        <v>Feb-2026</v>
      </c>
    </row>
    <row r="128" spans="1:10" x14ac:dyDescent="0.25">
      <c r="A128" t="s">
        <v>280</v>
      </c>
      <c r="B128" t="s">
        <v>1007</v>
      </c>
      <c r="C128" s="3">
        <v>45997</v>
      </c>
      <c r="D128" s="3">
        <v>46000</v>
      </c>
      <c r="E128" t="str">
        <f>IFERROR(VLOOKUP(B128,Assets_Master!A:E,5,FALSE),"Unknown")</f>
        <v>HP Inc</v>
      </c>
      <c r="F128" t="str">
        <f>IFERROR(VLOOKUP(B128,Assets_Master!A:J,10,FALSE),"Unknown")</f>
        <v>APAC</v>
      </c>
      <c r="G128">
        <v>2</v>
      </c>
      <c r="H128">
        <f>IF(AND(C128&lt;&gt;"",D128&lt;&gt;""),NETWORKDAYS(C128,D128),0)</f>
        <v>2</v>
      </c>
      <c r="I128" t="str">
        <f>IF(H128&gt;G128,"YES","NO")</f>
        <v>NO</v>
      </c>
      <c r="J128" t="str">
        <f>TEXT(C128,"mmm-yyyy")</f>
        <v>Dec-2025</v>
      </c>
    </row>
    <row r="129" spans="1:10" x14ac:dyDescent="0.25">
      <c r="A129" t="s">
        <v>281</v>
      </c>
      <c r="B129" t="s">
        <v>854</v>
      </c>
      <c r="C129" s="3">
        <v>46020</v>
      </c>
      <c r="D129" s="3">
        <v>46023</v>
      </c>
      <c r="E129" t="str">
        <f>IFERROR(VLOOKUP(B129,Assets_Master!A:E,5,FALSE),"Unknown")</f>
        <v>Cisco Systems</v>
      </c>
      <c r="F129" t="str">
        <f>IFERROR(VLOOKUP(B129,Assets_Master!A:J,10,FALSE),"Unknown")</f>
        <v>AMER</v>
      </c>
      <c r="G129">
        <v>2</v>
      </c>
      <c r="H129">
        <f>IF(AND(C129&lt;&gt;"",D129&lt;&gt;""),NETWORKDAYS(C129,D129),0)</f>
        <v>4</v>
      </c>
      <c r="I129" t="str">
        <f>IF(H129&gt;G129,"YES","NO")</f>
        <v>YES</v>
      </c>
      <c r="J129" t="str">
        <f>TEXT(C129,"mmm-yyyy")</f>
        <v>Dec-2025</v>
      </c>
    </row>
    <row r="130" spans="1:10" x14ac:dyDescent="0.25">
      <c r="A130" t="s">
        <v>282</v>
      </c>
      <c r="B130" t="s">
        <v>1111</v>
      </c>
      <c r="C130" s="3">
        <v>45992</v>
      </c>
      <c r="D130" s="3">
        <v>45996</v>
      </c>
      <c r="E130" t="str">
        <f>IFERROR(VLOOKUP(B130,Assets_Master!A:E,5,FALSE),"Unknown")</f>
        <v>Apple Enterprise</v>
      </c>
      <c r="F130" t="str">
        <f>IFERROR(VLOOKUP(B130,Assets_Master!A:J,10,FALSE),"Unknown")</f>
        <v>APAC</v>
      </c>
      <c r="G130">
        <v>2</v>
      </c>
      <c r="H130">
        <f>IF(AND(C130&lt;&gt;"",D130&lt;&gt;""),NETWORKDAYS(C130,D130),0)</f>
        <v>5</v>
      </c>
      <c r="I130" t="str">
        <f>IF(H130&gt;G130,"YES","NO")</f>
        <v>YES</v>
      </c>
      <c r="J130" t="str">
        <f>TEXT(C130,"mmm-yyyy")</f>
        <v>Dec-2025</v>
      </c>
    </row>
    <row r="131" spans="1:10" x14ac:dyDescent="0.25">
      <c r="A131" t="s">
        <v>283</v>
      </c>
      <c r="B131" t="s">
        <v>1086</v>
      </c>
      <c r="C131" s="3">
        <v>46015</v>
      </c>
      <c r="D131" s="3">
        <v>46018</v>
      </c>
      <c r="E131" t="str">
        <f>IFERROR(VLOOKUP(B131,Assets_Master!A:E,5,FALSE),"Unknown")</f>
        <v>Samsung IT</v>
      </c>
      <c r="F131" t="str">
        <f>IFERROR(VLOOKUP(B131,Assets_Master!A:J,10,FALSE),"Unknown")</f>
        <v>LATAM</v>
      </c>
      <c r="G131">
        <v>2</v>
      </c>
      <c r="H131">
        <f>IF(AND(C131&lt;&gt;"",D131&lt;&gt;""),NETWORKDAYS(C131,D131),0)</f>
        <v>3</v>
      </c>
      <c r="I131" t="str">
        <f>IF(H131&gt;G131,"YES","NO")</f>
        <v>YES</v>
      </c>
      <c r="J131" t="str">
        <f>TEXT(C131,"mmm-yyyy")</f>
        <v>Dec-2025</v>
      </c>
    </row>
    <row r="132" spans="1:10" x14ac:dyDescent="0.25">
      <c r="A132" t="s">
        <v>284</v>
      </c>
      <c r="B132" t="s">
        <v>1739</v>
      </c>
      <c r="C132" s="3">
        <v>46041</v>
      </c>
      <c r="D132" s="3">
        <v>46043</v>
      </c>
      <c r="E132" t="str">
        <f>IFERROR(VLOOKUP(B132,Assets_Master!A:E,5,FALSE),"Unknown")</f>
        <v>Lenovo Pro</v>
      </c>
      <c r="F132" t="str">
        <f>IFERROR(VLOOKUP(B132,Assets_Master!A:J,10,FALSE),"Unknown")</f>
        <v>AMER</v>
      </c>
      <c r="G132">
        <v>2</v>
      </c>
      <c r="H132">
        <f>IF(AND(C132&lt;&gt;"",D132&lt;&gt;""),NETWORKDAYS(C132,D132),0)</f>
        <v>3</v>
      </c>
      <c r="I132" t="str">
        <f>IF(H132&gt;G132,"YES","NO")</f>
        <v>YES</v>
      </c>
      <c r="J132" t="str">
        <f>TEXT(C132,"mmm-yyyy")</f>
        <v>Jan-2026</v>
      </c>
    </row>
    <row r="133" spans="1:10" x14ac:dyDescent="0.25">
      <c r="A133" t="s">
        <v>285</v>
      </c>
      <c r="B133" t="s">
        <v>788</v>
      </c>
      <c r="C133" s="3">
        <v>46000</v>
      </c>
      <c r="D133" s="3">
        <v>46002</v>
      </c>
      <c r="E133" t="str">
        <f>IFERROR(VLOOKUP(B133,Assets_Master!A:E,5,FALSE),"Unknown")</f>
        <v>HP Inc</v>
      </c>
      <c r="F133" t="str">
        <f>IFERROR(VLOOKUP(B133,Assets_Master!A:J,10,FALSE),"Unknown")</f>
        <v>APAC</v>
      </c>
      <c r="G133">
        <v>2</v>
      </c>
      <c r="H133">
        <f>IF(AND(C133&lt;&gt;"",D133&lt;&gt;""),NETWORKDAYS(C133,D133),0)</f>
        <v>3</v>
      </c>
      <c r="I133" t="str">
        <f>IF(H133&gt;G133,"YES","NO")</f>
        <v>YES</v>
      </c>
      <c r="J133" t="str">
        <f>TEXT(C133,"mmm-yyyy")</f>
        <v>Dec-2025</v>
      </c>
    </row>
    <row r="134" spans="1:10" x14ac:dyDescent="0.25">
      <c r="A134" t="s">
        <v>286</v>
      </c>
      <c r="B134" t="s">
        <v>1072</v>
      </c>
      <c r="C134" s="3">
        <v>46007</v>
      </c>
      <c r="D134" s="3">
        <v>46011</v>
      </c>
      <c r="E134" t="str">
        <f>IFERROR(VLOOKUP(B134,Assets_Master!A:E,5,FALSE),"Unknown")</f>
        <v>HP Inc</v>
      </c>
      <c r="F134" t="str">
        <f>IFERROR(VLOOKUP(B134,Assets_Master!A:J,10,FALSE),"Unknown")</f>
        <v>APAC</v>
      </c>
      <c r="G134">
        <v>2</v>
      </c>
      <c r="H134">
        <f>IF(AND(C134&lt;&gt;"",D134&lt;&gt;""),NETWORKDAYS(C134,D134),0)</f>
        <v>4</v>
      </c>
      <c r="I134" t="str">
        <f>IF(H134&gt;G134,"YES","NO")</f>
        <v>YES</v>
      </c>
      <c r="J134" t="str">
        <f>TEXT(C134,"mmm-yyyy")</f>
        <v>Dec-2025</v>
      </c>
    </row>
    <row r="135" spans="1:10" x14ac:dyDescent="0.25">
      <c r="A135" t="s">
        <v>287</v>
      </c>
      <c r="B135" t="s">
        <v>1469</v>
      </c>
      <c r="C135" s="3">
        <v>46006</v>
      </c>
      <c r="D135" s="3">
        <v>46008</v>
      </c>
      <c r="E135" t="str">
        <f>IFERROR(VLOOKUP(B135,Assets_Master!A:E,5,FALSE),"Unknown")</f>
        <v>Cisco Systems</v>
      </c>
      <c r="F135" t="str">
        <f>IFERROR(VLOOKUP(B135,Assets_Master!A:J,10,FALSE),"Unknown")</f>
        <v>LATAM</v>
      </c>
      <c r="G135">
        <v>2</v>
      </c>
      <c r="H135">
        <f>IF(AND(C135&lt;&gt;"",D135&lt;&gt;""),NETWORKDAYS(C135,D135),0)</f>
        <v>3</v>
      </c>
      <c r="I135" t="str">
        <f>IF(H135&gt;G135,"YES","NO")</f>
        <v>YES</v>
      </c>
      <c r="J135" t="str">
        <f>TEXT(C135,"mmm-yyyy")</f>
        <v>Dec-2025</v>
      </c>
    </row>
    <row r="136" spans="1:10" x14ac:dyDescent="0.25">
      <c r="A136" t="s">
        <v>288</v>
      </c>
      <c r="B136" t="s">
        <v>799</v>
      </c>
      <c r="C136" s="3">
        <v>45992</v>
      </c>
      <c r="D136" s="3">
        <v>45997</v>
      </c>
      <c r="E136" t="str">
        <f>IFERROR(VLOOKUP(B136,Assets_Master!A:E,5,FALSE),"Unknown")</f>
        <v>Lenovo Pro</v>
      </c>
      <c r="F136" t="str">
        <f>IFERROR(VLOOKUP(B136,Assets_Master!A:J,10,FALSE),"Unknown")</f>
        <v>EMEA</v>
      </c>
      <c r="G136">
        <v>2</v>
      </c>
      <c r="H136">
        <f>IF(AND(C136&lt;&gt;"",D136&lt;&gt;""),NETWORKDAYS(C136,D136),0)</f>
        <v>5</v>
      </c>
      <c r="I136" t="str">
        <f>IF(H136&gt;G136,"YES","NO")</f>
        <v>YES</v>
      </c>
      <c r="J136" t="str">
        <f>TEXT(C136,"mmm-yyyy")</f>
        <v>Dec-2025</v>
      </c>
    </row>
    <row r="137" spans="1:10" x14ac:dyDescent="0.25">
      <c r="A137" t="s">
        <v>289</v>
      </c>
      <c r="B137" t="s">
        <v>879</v>
      </c>
      <c r="C137" s="3">
        <v>46029</v>
      </c>
      <c r="D137" s="3">
        <v>46032</v>
      </c>
      <c r="E137" t="str">
        <f>IFERROR(VLOOKUP(B137,Assets_Master!A:E,5,FALSE),"Unknown")</f>
        <v>Lenovo Pro</v>
      </c>
      <c r="F137" t="str">
        <f>IFERROR(VLOOKUP(B137,Assets_Master!A:J,10,FALSE),"Unknown")</f>
        <v>AMER</v>
      </c>
      <c r="G137">
        <v>2</v>
      </c>
      <c r="H137">
        <f>IF(AND(C137&lt;&gt;"",D137&lt;&gt;""),NETWORKDAYS(C137,D137),0)</f>
        <v>3</v>
      </c>
      <c r="I137" t="str">
        <f>IF(H137&gt;G137,"YES","NO")</f>
        <v>YES</v>
      </c>
      <c r="J137" t="str">
        <f>TEXT(C137,"mmm-yyyy")</f>
        <v>Jan-2026</v>
      </c>
    </row>
    <row r="138" spans="1:10" x14ac:dyDescent="0.25">
      <c r="A138" t="s">
        <v>290</v>
      </c>
      <c r="B138" t="s">
        <v>816</v>
      </c>
      <c r="C138" s="3">
        <v>46050</v>
      </c>
      <c r="D138" s="3">
        <v>46055</v>
      </c>
      <c r="E138" t="str">
        <f>IFERROR(VLOOKUP(B138,Assets_Master!A:E,5,FALSE),"Unknown")</f>
        <v>Samsung IT</v>
      </c>
      <c r="F138" t="str">
        <f>IFERROR(VLOOKUP(B138,Assets_Master!A:J,10,FALSE),"Unknown")</f>
        <v>APAC</v>
      </c>
      <c r="G138">
        <v>2</v>
      </c>
      <c r="H138">
        <f>IF(AND(C138&lt;&gt;"",D138&lt;&gt;""),NETWORKDAYS(C138,D138),0)</f>
        <v>4</v>
      </c>
      <c r="I138" t="str">
        <f>IF(H138&gt;G138,"YES","NO")</f>
        <v>YES</v>
      </c>
      <c r="J138" t="str">
        <f>TEXT(C138,"mmm-yyyy")</f>
        <v>Jan-2026</v>
      </c>
    </row>
    <row r="139" spans="1:10" x14ac:dyDescent="0.25">
      <c r="A139" t="s">
        <v>291</v>
      </c>
      <c r="B139" t="s">
        <v>749</v>
      </c>
      <c r="C139" s="3">
        <v>46051</v>
      </c>
      <c r="D139" s="3">
        <v>46054</v>
      </c>
      <c r="E139" t="str">
        <f>IFERROR(VLOOKUP(B139,Assets_Master!A:E,5,FALSE),"Unknown")</f>
        <v>Fujitsu</v>
      </c>
      <c r="F139" t="str">
        <f>IFERROR(VLOOKUP(B139,Assets_Master!A:J,10,FALSE),"Unknown")</f>
        <v>AMER</v>
      </c>
      <c r="G139">
        <v>2</v>
      </c>
      <c r="H139">
        <f>IF(AND(C139&lt;&gt;"",D139&lt;&gt;""),NETWORKDAYS(C139,D139),0)</f>
        <v>2</v>
      </c>
      <c r="I139" t="str">
        <f>IF(H139&gt;G139,"YES","NO")</f>
        <v>NO</v>
      </c>
      <c r="J139" t="str">
        <f>TEXT(C139,"mmm-yyyy")</f>
        <v>Jan-2026</v>
      </c>
    </row>
    <row r="140" spans="1:10" x14ac:dyDescent="0.25">
      <c r="A140" t="s">
        <v>292</v>
      </c>
      <c r="B140" t="s">
        <v>1876</v>
      </c>
      <c r="C140" s="3">
        <v>46040</v>
      </c>
      <c r="D140" s="3">
        <v>46045</v>
      </c>
      <c r="E140" t="str">
        <f>IFERROR(VLOOKUP(B140,Assets_Master!A:E,5,FALSE),"Unknown")</f>
        <v>Cisco Systems</v>
      </c>
      <c r="F140" t="str">
        <f>IFERROR(VLOOKUP(B140,Assets_Master!A:J,10,FALSE),"Unknown")</f>
        <v>EMEA</v>
      </c>
      <c r="G140">
        <v>2</v>
      </c>
      <c r="H140">
        <f>IF(AND(C140&lt;&gt;"",D140&lt;&gt;""),NETWORKDAYS(C140,D140),0)</f>
        <v>5</v>
      </c>
      <c r="I140" t="str">
        <f>IF(H140&gt;G140,"YES","NO")</f>
        <v>YES</v>
      </c>
      <c r="J140" t="str">
        <f>TEXT(C140,"mmm-yyyy")</f>
        <v>Jan-2026</v>
      </c>
    </row>
    <row r="141" spans="1:10" x14ac:dyDescent="0.25">
      <c r="A141" t="s">
        <v>293</v>
      </c>
      <c r="B141" t="s">
        <v>960</v>
      </c>
      <c r="C141" s="3">
        <v>46015</v>
      </c>
      <c r="D141" s="3">
        <v>46019</v>
      </c>
      <c r="E141" t="str">
        <f>IFERROR(VLOOKUP(B141,Assets_Master!A:E,5,FALSE),"Unknown")</f>
        <v>Apple Enterprise</v>
      </c>
      <c r="F141" t="str">
        <f>IFERROR(VLOOKUP(B141,Assets_Master!A:J,10,FALSE),"Unknown")</f>
        <v>EMEA</v>
      </c>
      <c r="G141">
        <v>2</v>
      </c>
      <c r="H141">
        <f>IF(AND(C141&lt;&gt;"",D141&lt;&gt;""),NETWORKDAYS(C141,D141),0)</f>
        <v>3</v>
      </c>
      <c r="I141" t="str">
        <f>IF(H141&gt;G141,"YES","NO")</f>
        <v>YES</v>
      </c>
      <c r="J141" t="str">
        <f>TEXT(C141,"mmm-yyyy")</f>
        <v>Dec-2025</v>
      </c>
    </row>
    <row r="142" spans="1:10" x14ac:dyDescent="0.25">
      <c r="A142" t="s">
        <v>294</v>
      </c>
      <c r="B142" t="s">
        <v>1328</v>
      </c>
      <c r="C142" s="3">
        <v>46003</v>
      </c>
      <c r="D142" s="3">
        <v>46005</v>
      </c>
      <c r="E142" t="str">
        <f>IFERROR(VLOOKUP(B142,Assets_Master!A:E,5,FALSE),"Unknown")</f>
        <v>Cisco Systems</v>
      </c>
      <c r="F142" t="str">
        <f>IFERROR(VLOOKUP(B142,Assets_Master!A:J,10,FALSE),"Unknown")</f>
        <v>AMER</v>
      </c>
      <c r="G142">
        <v>2</v>
      </c>
      <c r="H142">
        <f>IF(AND(C142&lt;&gt;"",D142&lt;&gt;""),NETWORKDAYS(C142,D142),0)</f>
        <v>1</v>
      </c>
      <c r="I142" t="str">
        <f>IF(H142&gt;G142,"YES","NO")</f>
        <v>NO</v>
      </c>
      <c r="J142" t="str">
        <f>TEXT(C142,"mmm-yyyy")</f>
        <v>Dec-2025</v>
      </c>
    </row>
    <row r="143" spans="1:10" x14ac:dyDescent="0.25">
      <c r="A143" t="s">
        <v>295</v>
      </c>
      <c r="B143" t="s">
        <v>1249</v>
      </c>
      <c r="C143" s="3">
        <v>46046</v>
      </c>
      <c r="D143" s="3">
        <v>46050</v>
      </c>
      <c r="E143" t="str">
        <f>IFERROR(VLOOKUP(B143,Assets_Master!A:E,5,FALSE),"Unknown")</f>
        <v>HP Inc</v>
      </c>
      <c r="F143" t="str">
        <f>IFERROR(VLOOKUP(B143,Assets_Master!A:J,10,FALSE),"Unknown")</f>
        <v>EMEA</v>
      </c>
      <c r="G143">
        <v>2</v>
      </c>
      <c r="H143">
        <f>IF(AND(C143&lt;&gt;"",D143&lt;&gt;""),NETWORKDAYS(C143,D143),0)</f>
        <v>3</v>
      </c>
      <c r="I143" t="str">
        <f>IF(H143&gt;G143,"YES","NO")</f>
        <v>YES</v>
      </c>
      <c r="J143" t="str">
        <f>TEXT(C143,"mmm-yyyy")</f>
        <v>Jan-2026</v>
      </c>
    </row>
    <row r="144" spans="1:10" x14ac:dyDescent="0.25">
      <c r="A144" t="s">
        <v>296</v>
      </c>
      <c r="B144" t="s">
        <v>1632</v>
      </c>
      <c r="C144" s="3">
        <v>45986</v>
      </c>
      <c r="D144" s="3">
        <v>45989</v>
      </c>
      <c r="E144" t="str">
        <f>IFERROR(VLOOKUP(B144,Assets_Master!A:E,5,FALSE),"Unknown")</f>
        <v>Apple Enterprise</v>
      </c>
      <c r="F144" t="str">
        <f>IFERROR(VLOOKUP(B144,Assets_Master!A:J,10,FALSE),"Unknown")</f>
        <v>AMER</v>
      </c>
      <c r="G144">
        <v>2</v>
      </c>
      <c r="H144">
        <f>IF(AND(C144&lt;&gt;"",D144&lt;&gt;""),NETWORKDAYS(C144,D144),0)</f>
        <v>4</v>
      </c>
      <c r="I144" t="str">
        <f>IF(H144&gt;G144,"YES","NO")</f>
        <v>YES</v>
      </c>
      <c r="J144" t="str">
        <f>TEXT(C144,"mmm-yyyy")</f>
        <v>Nov-2025</v>
      </c>
    </row>
    <row r="145" spans="1:10" x14ac:dyDescent="0.25">
      <c r="A145" t="s">
        <v>297</v>
      </c>
      <c r="B145" t="s">
        <v>754</v>
      </c>
      <c r="C145" s="3">
        <v>46025</v>
      </c>
      <c r="D145" s="3">
        <v>46028</v>
      </c>
      <c r="E145" t="str">
        <f>IFERROR(VLOOKUP(B145,Assets_Master!A:E,5,FALSE),"Unknown")</f>
        <v>Dell Global</v>
      </c>
      <c r="F145" t="str">
        <f>IFERROR(VLOOKUP(B145,Assets_Master!A:J,10,FALSE),"Unknown")</f>
        <v>EMEA</v>
      </c>
      <c r="G145">
        <v>2</v>
      </c>
      <c r="H145">
        <f>IF(AND(C145&lt;&gt;"",D145&lt;&gt;""),NETWORKDAYS(C145,D145),0)</f>
        <v>2</v>
      </c>
      <c r="I145" t="str">
        <f>IF(H145&gt;G145,"YES","NO")</f>
        <v>NO</v>
      </c>
      <c r="J145" t="str">
        <f>TEXT(C145,"mmm-yyyy")</f>
        <v>Jan-2026</v>
      </c>
    </row>
    <row r="146" spans="1:10" x14ac:dyDescent="0.25">
      <c r="A146" t="s">
        <v>298</v>
      </c>
      <c r="B146" t="s">
        <v>791</v>
      </c>
      <c r="C146" s="3">
        <v>46012</v>
      </c>
      <c r="D146" s="3">
        <v>46014</v>
      </c>
      <c r="E146" t="str">
        <f>IFERROR(VLOOKUP(B146,Assets_Master!A:E,5,FALSE),"Unknown")</f>
        <v>HP Inc</v>
      </c>
      <c r="F146" t="str">
        <f>IFERROR(VLOOKUP(B146,Assets_Master!A:J,10,FALSE),"Unknown")</f>
        <v>LATAM</v>
      </c>
      <c r="G146">
        <v>2</v>
      </c>
      <c r="H146">
        <f>IF(AND(C146&lt;&gt;"",D146&lt;&gt;""),NETWORKDAYS(C146,D146),0)</f>
        <v>2</v>
      </c>
      <c r="I146" t="str">
        <f>IF(H146&gt;G146,"YES","NO")</f>
        <v>NO</v>
      </c>
      <c r="J146" t="str">
        <f>TEXT(C146,"mmm-yyyy")</f>
        <v>Dec-2025</v>
      </c>
    </row>
    <row r="147" spans="1:10" x14ac:dyDescent="0.25">
      <c r="A147" t="s">
        <v>299</v>
      </c>
      <c r="B147" t="s">
        <v>1970</v>
      </c>
      <c r="C147" s="3">
        <v>46055</v>
      </c>
      <c r="D147" s="3">
        <v>46058</v>
      </c>
      <c r="E147" t="str">
        <f>IFERROR(VLOOKUP(B147,Assets_Master!A:E,5,FALSE),"Unknown")</f>
        <v>Samsung IT</v>
      </c>
      <c r="F147" t="str">
        <f>IFERROR(VLOOKUP(B147,Assets_Master!A:J,10,FALSE),"Unknown")</f>
        <v>LATAM</v>
      </c>
      <c r="G147">
        <v>2</v>
      </c>
      <c r="H147">
        <f>IF(AND(C147&lt;&gt;"",D147&lt;&gt;""),NETWORKDAYS(C147,D147),0)</f>
        <v>4</v>
      </c>
      <c r="I147" t="str">
        <f>IF(H147&gt;G147,"YES","NO")</f>
        <v>YES</v>
      </c>
      <c r="J147" t="str">
        <f>TEXT(C147,"mmm-yyyy")</f>
        <v>Feb-2026</v>
      </c>
    </row>
    <row r="148" spans="1:10" x14ac:dyDescent="0.25">
      <c r="A148" t="s">
        <v>300</v>
      </c>
      <c r="B148" t="s">
        <v>1715</v>
      </c>
      <c r="C148" s="3">
        <v>45979</v>
      </c>
      <c r="D148" s="3">
        <v>45981</v>
      </c>
      <c r="E148" t="str">
        <f>IFERROR(VLOOKUP(B148,Assets_Master!A:E,5,FALSE),"Unknown")</f>
        <v>Samsung IT</v>
      </c>
      <c r="F148" t="str">
        <f>IFERROR(VLOOKUP(B148,Assets_Master!A:J,10,FALSE),"Unknown")</f>
        <v>EMEA</v>
      </c>
      <c r="G148">
        <v>2</v>
      </c>
      <c r="H148">
        <f>IF(AND(C148&lt;&gt;"",D148&lt;&gt;""),NETWORKDAYS(C148,D148),0)</f>
        <v>3</v>
      </c>
      <c r="I148" t="str">
        <f>IF(H148&gt;G148,"YES","NO")</f>
        <v>YES</v>
      </c>
      <c r="J148" t="str">
        <f>TEXT(C148,"mmm-yyyy")</f>
        <v>Nov-2025</v>
      </c>
    </row>
    <row r="149" spans="1:10" x14ac:dyDescent="0.25">
      <c r="A149" t="s">
        <v>301</v>
      </c>
      <c r="B149" t="s">
        <v>1538</v>
      </c>
      <c r="C149" s="3">
        <v>46062</v>
      </c>
      <c r="D149" s="3">
        <v>46065</v>
      </c>
      <c r="E149" t="str">
        <f>IFERROR(VLOOKUP(B149,Assets_Master!A:E,5,FALSE),"Unknown")</f>
        <v>Lenovo Pro</v>
      </c>
      <c r="F149" t="str">
        <f>IFERROR(VLOOKUP(B149,Assets_Master!A:J,10,FALSE),"Unknown")</f>
        <v>AMER</v>
      </c>
      <c r="G149">
        <v>2</v>
      </c>
      <c r="H149">
        <f>IF(AND(C149&lt;&gt;"",D149&lt;&gt;""),NETWORKDAYS(C149,D149),0)</f>
        <v>4</v>
      </c>
      <c r="I149" t="str">
        <f>IF(H149&gt;G149,"YES","NO")</f>
        <v>YES</v>
      </c>
      <c r="J149" t="str">
        <f>TEXT(C149,"mmm-yyyy")</f>
        <v>Feb-2026</v>
      </c>
    </row>
    <row r="150" spans="1:10" x14ac:dyDescent="0.25">
      <c r="A150" t="s">
        <v>302</v>
      </c>
      <c r="B150" t="s">
        <v>1998</v>
      </c>
      <c r="C150" s="3">
        <v>46044</v>
      </c>
      <c r="D150" s="3">
        <v>46046</v>
      </c>
      <c r="E150" t="str">
        <f>IFERROR(VLOOKUP(B150,Assets_Master!A:E,5,FALSE),"Unknown")</f>
        <v>HP Inc</v>
      </c>
      <c r="F150" t="str">
        <f>IFERROR(VLOOKUP(B150,Assets_Master!A:J,10,FALSE),"Unknown")</f>
        <v>EMEA</v>
      </c>
      <c r="G150">
        <v>2</v>
      </c>
      <c r="H150">
        <f>IF(AND(C150&lt;&gt;"",D150&lt;&gt;""),NETWORKDAYS(C150,D150),0)</f>
        <v>2</v>
      </c>
      <c r="I150" t="str">
        <f>IF(H150&gt;G150,"YES","NO")</f>
        <v>NO</v>
      </c>
      <c r="J150" t="str">
        <f>TEXT(C150,"mmm-yyyy")</f>
        <v>Jan-2026</v>
      </c>
    </row>
    <row r="151" spans="1:10" x14ac:dyDescent="0.25">
      <c r="A151" t="s">
        <v>303</v>
      </c>
      <c r="B151" t="s">
        <v>1816</v>
      </c>
      <c r="C151" s="3">
        <v>46107</v>
      </c>
      <c r="D151" s="3">
        <v>46109</v>
      </c>
      <c r="E151" t="str">
        <f>IFERROR(VLOOKUP(B151,Assets_Master!A:E,5,FALSE),"Unknown")</f>
        <v>Apple Enterprise</v>
      </c>
      <c r="F151" t="str">
        <f>IFERROR(VLOOKUP(B151,Assets_Master!A:J,10,FALSE),"Unknown")</f>
        <v>EMEA</v>
      </c>
      <c r="G151">
        <v>2</v>
      </c>
      <c r="H151">
        <f>IF(AND(C151&lt;&gt;"",D151&lt;&gt;""),NETWORKDAYS(C151,D151),0)</f>
        <v>2</v>
      </c>
      <c r="I151" t="str">
        <f>IF(H151&gt;G151,"YES","NO")</f>
        <v>NO</v>
      </c>
      <c r="J151" t="str">
        <f>TEXT(C151,"mmm-yyyy")</f>
        <v>Mar-2026</v>
      </c>
    </row>
    <row r="152" spans="1:10" x14ac:dyDescent="0.25">
      <c r="A152" t="s">
        <v>304</v>
      </c>
      <c r="B152" t="s">
        <v>1865</v>
      </c>
      <c r="C152" s="3">
        <v>46121</v>
      </c>
      <c r="D152" s="3">
        <v>46123</v>
      </c>
      <c r="E152" t="str">
        <f>IFERROR(VLOOKUP(B152,Assets_Master!A:E,5,FALSE),"Unknown")</f>
        <v>HP Inc</v>
      </c>
      <c r="F152" t="str">
        <f>IFERROR(VLOOKUP(B152,Assets_Master!A:J,10,FALSE),"Unknown")</f>
        <v>AMER</v>
      </c>
      <c r="G152">
        <v>2</v>
      </c>
      <c r="H152">
        <f>IF(AND(C152&lt;&gt;"",D152&lt;&gt;""),NETWORKDAYS(C152,D152),0)</f>
        <v>2</v>
      </c>
      <c r="I152" t="str">
        <f>IF(H152&gt;G152,"YES","NO")</f>
        <v>NO</v>
      </c>
      <c r="J152" t="str">
        <f>TEXT(C152,"mmm-yyyy")</f>
        <v>Apr-2026</v>
      </c>
    </row>
    <row r="153" spans="1:10" x14ac:dyDescent="0.25">
      <c r="A153" t="s">
        <v>305</v>
      </c>
      <c r="B153" t="s">
        <v>1147</v>
      </c>
      <c r="C153" s="3">
        <v>46100</v>
      </c>
      <c r="D153" s="3">
        <v>46102</v>
      </c>
      <c r="E153" t="str">
        <f>IFERROR(VLOOKUP(B153,Assets_Master!A:E,5,FALSE),"Unknown")</f>
        <v>Apple Enterprise</v>
      </c>
      <c r="F153" t="str">
        <f>IFERROR(VLOOKUP(B153,Assets_Master!A:J,10,FALSE),"Unknown")</f>
        <v>LATAM</v>
      </c>
      <c r="G153">
        <v>2</v>
      </c>
      <c r="H153">
        <f>IF(AND(C153&lt;&gt;"",D153&lt;&gt;""),NETWORKDAYS(C153,D153),0)</f>
        <v>2</v>
      </c>
      <c r="I153" t="str">
        <f>IF(H153&gt;G153,"YES","NO")</f>
        <v>NO</v>
      </c>
      <c r="J153" t="str">
        <f>TEXT(C153,"mmm-yyyy")</f>
        <v>Mar-2026</v>
      </c>
    </row>
    <row r="154" spans="1:10" x14ac:dyDescent="0.25">
      <c r="A154" t="s">
        <v>306</v>
      </c>
      <c r="B154" t="s">
        <v>760</v>
      </c>
      <c r="C154" s="3">
        <v>46117</v>
      </c>
      <c r="D154" s="3">
        <v>46118</v>
      </c>
      <c r="E154" t="str">
        <f>IFERROR(VLOOKUP(B154,Assets_Master!A:E,5,FALSE),"Unknown")</f>
        <v>Dell Global</v>
      </c>
      <c r="F154" t="str">
        <f>IFERROR(VLOOKUP(B154,Assets_Master!A:J,10,FALSE),"Unknown")</f>
        <v>LATAM</v>
      </c>
      <c r="G154">
        <v>2</v>
      </c>
      <c r="H154">
        <f>IF(AND(C154&lt;&gt;"",D154&lt;&gt;""),NETWORKDAYS(C154,D154),0)</f>
        <v>1</v>
      </c>
      <c r="I154" t="str">
        <f>IF(H154&gt;G154,"YES","NO")</f>
        <v>NO</v>
      </c>
      <c r="J154" t="str">
        <f>TEXT(C154,"mmm-yyyy")</f>
        <v>Apr-2026</v>
      </c>
    </row>
    <row r="155" spans="1:10" x14ac:dyDescent="0.25">
      <c r="A155" t="s">
        <v>307</v>
      </c>
      <c r="B155" t="s">
        <v>635</v>
      </c>
      <c r="C155" s="3">
        <v>46105</v>
      </c>
      <c r="D155" s="3">
        <v>46106</v>
      </c>
      <c r="E155" t="str">
        <f>IFERROR(VLOOKUP(B155,Assets_Master!A:E,5,FALSE),"Unknown")</f>
        <v>Samsung IT</v>
      </c>
      <c r="F155" t="str">
        <f>IFERROR(VLOOKUP(B155,Assets_Master!A:J,10,FALSE),"Unknown")</f>
        <v>LATAM</v>
      </c>
      <c r="G155">
        <v>2</v>
      </c>
      <c r="H155">
        <f>IF(AND(C155&lt;&gt;"",D155&lt;&gt;""),NETWORKDAYS(C155,D155),0)</f>
        <v>2</v>
      </c>
      <c r="I155" t="str">
        <f>IF(H155&gt;G155,"YES","NO")</f>
        <v>NO</v>
      </c>
      <c r="J155" t="str">
        <f>TEXT(C155,"mmm-yyyy")</f>
        <v>Mar-2026</v>
      </c>
    </row>
    <row r="156" spans="1:10" x14ac:dyDescent="0.25">
      <c r="A156" t="s">
        <v>308</v>
      </c>
      <c r="B156" t="s">
        <v>1610</v>
      </c>
      <c r="C156" s="3">
        <v>46121</v>
      </c>
      <c r="D156" s="3">
        <v>46122</v>
      </c>
      <c r="E156" t="str">
        <f>IFERROR(VLOOKUP(B156,Assets_Master!A:E,5,FALSE),"Unknown")</f>
        <v>Fujitsu</v>
      </c>
      <c r="F156" t="str">
        <f>IFERROR(VLOOKUP(B156,Assets_Master!A:J,10,FALSE),"Unknown")</f>
        <v>AMER</v>
      </c>
      <c r="G156">
        <v>2</v>
      </c>
      <c r="H156">
        <f>IF(AND(C156&lt;&gt;"",D156&lt;&gt;""),NETWORKDAYS(C156,D156),0)</f>
        <v>2</v>
      </c>
      <c r="I156" t="str">
        <f>IF(H156&gt;G156,"YES","NO")</f>
        <v>NO</v>
      </c>
      <c r="J156" t="str">
        <f>TEXT(C156,"mmm-yyyy")</f>
        <v>Apr-2026</v>
      </c>
    </row>
    <row r="157" spans="1:10" x14ac:dyDescent="0.25">
      <c r="A157" t="s">
        <v>309</v>
      </c>
      <c r="B157" t="s">
        <v>1793</v>
      </c>
      <c r="C157" s="3">
        <v>46112</v>
      </c>
      <c r="D157" s="3">
        <v>46114</v>
      </c>
      <c r="E157" t="str">
        <f>IFERROR(VLOOKUP(B157,Assets_Master!A:E,5,FALSE),"Unknown")</f>
        <v>Dell Global</v>
      </c>
      <c r="F157" t="str">
        <f>IFERROR(VLOOKUP(B157,Assets_Master!A:J,10,FALSE),"Unknown")</f>
        <v>EMEA</v>
      </c>
      <c r="G157">
        <v>2</v>
      </c>
      <c r="H157">
        <f>IF(AND(C157&lt;&gt;"",D157&lt;&gt;""),NETWORKDAYS(C157,D157),0)</f>
        <v>3</v>
      </c>
      <c r="I157" t="str">
        <f>IF(H157&gt;G157,"YES","NO")</f>
        <v>YES</v>
      </c>
      <c r="J157" t="str">
        <f>TEXT(C157,"mmm-yyyy")</f>
        <v>Mar-2026</v>
      </c>
    </row>
    <row r="158" spans="1:10" x14ac:dyDescent="0.25">
      <c r="A158" t="s">
        <v>310</v>
      </c>
      <c r="B158" t="s">
        <v>921</v>
      </c>
      <c r="C158" s="3">
        <v>46107</v>
      </c>
      <c r="D158" s="3">
        <v>46108</v>
      </c>
      <c r="E158" t="str">
        <f>IFERROR(VLOOKUP(B158,Assets_Master!A:E,5,FALSE),"Unknown")</f>
        <v>Cisco Systems</v>
      </c>
      <c r="F158" t="str">
        <f>IFERROR(VLOOKUP(B158,Assets_Master!A:J,10,FALSE),"Unknown")</f>
        <v>APAC</v>
      </c>
      <c r="G158">
        <v>2</v>
      </c>
      <c r="H158">
        <f>IF(AND(C158&lt;&gt;"",D158&lt;&gt;""),NETWORKDAYS(C158,D158),0)</f>
        <v>2</v>
      </c>
      <c r="I158" t="str">
        <f>IF(H158&gt;G158,"YES","NO")</f>
        <v>NO</v>
      </c>
      <c r="J158" t="str">
        <f>TEXT(C158,"mmm-yyyy")</f>
        <v>Mar-2026</v>
      </c>
    </row>
    <row r="159" spans="1:10" x14ac:dyDescent="0.25">
      <c r="A159" t="s">
        <v>311</v>
      </c>
      <c r="B159" t="s">
        <v>1389</v>
      </c>
      <c r="C159" s="3">
        <v>46096</v>
      </c>
      <c r="D159" s="3">
        <v>46098</v>
      </c>
      <c r="E159" t="str">
        <f>IFERROR(VLOOKUP(B159,Assets_Master!A:E,5,FALSE),"Unknown")</f>
        <v>Apple Enterprise</v>
      </c>
      <c r="F159" t="str">
        <f>IFERROR(VLOOKUP(B159,Assets_Master!A:J,10,FALSE),"Unknown")</f>
        <v>AMER</v>
      </c>
      <c r="G159">
        <v>2</v>
      </c>
      <c r="H159">
        <f>IF(AND(C159&lt;&gt;"",D159&lt;&gt;""),NETWORKDAYS(C159,D159),0)</f>
        <v>2</v>
      </c>
      <c r="I159" t="str">
        <f>IF(H159&gt;G159,"YES","NO")</f>
        <v>NO</v>
      </c>
      <c r="J159" t="str">
        <f>TEXT(C159,"mmm-yyyy")</f>
        <v>Mar-2026</v>
      </c>
    </row>
    <row r="160" spans="1:10" x14ac:dyDescent="0.25">
      <c r="A160" t="s">
        <v>312</v>
      </c>
      <c r="B160" t="s">
        <v>933</v>
      </c>
      <c r="C160" s="3">
        <v>46093</v>
      </c>
      <c r="D160" s="3">
        <v>46095</v>
      </c>
      <c r="E160" t="str">
        <f>IFERROR(VLOOKUP(B160,Assets_Master!A:E,5,FALSE),"Unknown")</f>
        <v>Apple Enterprise</v>
      </c>
      <c r="F160" t="str">
        <f>IFERROR(VLOOKUP(B160,Assets_Master!A:J,10,FALSE),"Unknown")</f>
        <v>LATAM</v>
      </c>
      <c r="G160">
        <v>2</v>
      </c>
      <c r="H160">
        <f>IF(AND(C160&lt;&gt;"",D160&lt;&gt;""),NETWORKDAYS(C160,D160),0)</f>
        <v>2</v>
      </c>
      <c r="I160" t="str">
        <f>IF(H160&gt;G160,"YES","NO")</f>
        <v>NO</v>
      </c>
      <c r="J160" t="str">
        <f>TEXT(C160,"mmm-yyyy")</f>
        <v>Mar-2026</v>
      </c>
    </row>
    <row r="161" spans="1:10" x14ac:dyDescent="0.25">
      <c r="A161" t="s">
        <v>313</v>
      </c>
      <c r="B161" t="s">
        <v>1749</v>
      </c>
      <c r="C161" s="3">
        <v>46112</v>
      </c>
      <c r="D161" s="3">
        <v>46114</v>
      </c>
      <c r="E161" t="str">
        <f>IFERROR(VLOOKUP(B161,Assets_Master!A:E,5,FALSE),"Unknown")</f>
        <v>Apple Enterprise</v>
      </c>
      <c r="F161" t="str">
        <f>IFERROR(VLOOKUP(B161,Assets_Master!A:J,10,FALSE),"Unknown")</f>
        <v>LATAM</v>
      </c>
      <c r="G161">
        <v>2</v>
      </c>
      <c r="H161">
        <f>IF(AND(C161&lt;&gt;"",D161&lt;&gt;""),NETWORKDAYS(C161,D161),0)</f>
        <v>3</v>
      </c>
      <c r="I161" t="str">
        <f>IF(H161&gt;G161,"YES","NO")</f>
        <v>YES</v>
      </c>
      <c r="J161" t="str">
        <f>TEXT(C161,"mmm-yyyy")</f>
        <v>Mar-2026</v>
      </c>
    </row>
    <row r="162" spans="1:10" x14ac:dyDescent="0.25">
      <c r="A162" t="s">
        <v>314</v>
      </c>
      <c r="B162" t="s">
        <v>2028</v>
      </c>
      <c r="C162" s="3">
        <v>46105</v>
      </c>
      <c r="D162" s="3">
        <v>46106</v>
      </c>
      <c r="E162" t="str">
        <f>IFERROR(VLOOKUP(B162,Assets_Master!A:E,5,FALSE),"Unknown")</f>
        <v>Cisco Systems</v>
      </c>
      <c r="F162" t="str">
        <f>IFERROR(VLOOKUP(B162,Assets_Master!A:J,10,FALSE),"Unknown")</f>
        <v>LATAM</v>
      </c>
      <c r="G162">
        <v>2</v>
      </c>
      <c r="H162">
        <f>IF(AND(C162&lt;&gt;"",D162&lt;&gt;""),NETWORKDAYS(C162,D162),0)</f>
        <v>2</v>
      </c>
      <c r="I162" t="str">
        <f>IF(H162&gt;G162,"YES","NO")</f>
        <v>NO</v>
      </c>
      <c r="J162" t="str">
        <f>TEXT(C162,"mmm-yyyy")</f>
        <v>Mar-2026</v>
      </c>
    </row>
    <row r="163" spans="1:10" x14ac:dyDescent="0.25">
      <c r="A163" t="s">
        <v>315</v>
      </c>
      <c r="B163" t="s">
        <v>1240</v>
      </c>
      <c r="C163" s="3">
        <v>46121</v>
      </c>
      <c r="D163" s="3">
        <v>46123</v>
      </c>
      <c r="E163" t="str">
        <f>IFERROR(VLOOKUP(B163,Assets_Master!A:E,5,FALSE),"Unknown")</f>
        <v>Cisco Systems</v>
      </c>
      <c r="F163" t="str">
        <f>IFERROR(VLOOKUP(B163,Assets_Master!A:J,10,FALSE),"Unknown")</f>
        <v>APAC</v>
      </c>
      <c r="G163">
        <v>2</v>
      </c>
      <c r="H163">
        <f>IF(AND(C163&lt;&gt;"",D163&lt;&gt;""),NETWORKDAYS(C163,D163),0)</f>
        <v>2</v>
      </c>
      <c r="I163" t="str">
        <f>IF(H163&gt;G163,"YES","NO")</f>
        <v>NO</v>
      </c>
      <c r="J163" t="str">
        <f>TEXT(C163,"mmm-yyyy")</f>
        <v>Apr-2026</v>
      </c>
    </row>
    <row r="164" spans="1:10" x14ac:dyDescent="0.25">
      <c r="A164" t="s">
        <v>316</v>
      </c>
      <c r="B164" t="s">
        <v>1265</v>
      </c>
      <c r="C164" s="3">
        <v>46103</v>
      </c>
      <c r="D164" s="3">
        <v>46104</v>
      </c>
      <c r="E164" t="str">
        <f>IFERROR(VLOOKUP(B164,Assets_Master!A:E,5,FALSE),"Unknown")</f>
        <v>HP Inc</v>
      </c>
      <c r="F164" t="str">
        <f>IFERROR(VLOOKUP(B164,Assets_Master!A:J,10,FALSE),"Unknown")</f>
        <v>AMER</v>
      </c>
      <c r="G164">
        <v>2</v>
      </c>
      <c r="H164">
        <f>IF(AND(C164&lt;&gt;"",D164&lt;&gt;""),NETWORKDAYS(C164,D164),0)</f>
        <v>1</v>
      </c>
      <c r="I164" t="str">
        <f>IF(H164&gt;G164,"YES","NO")</f>
        <v>NO</v>
      </c>
      <c r="J164" t="str">
        <f>TEXT(C164,"mmm-yyyy")</f>
        <v>Mar-2026</v>
      </c>
    </row>
    <row r="165" spans="1:10" x14ac:dyDescent="0.25">
      <c r="A165" t="s">
        <v>317</v>
      </c>
      <c r="B165" t="s">
        <v>1054</v>
      </c>
      <c r="C165" s="3">
        <v>46111</v>
      </c>
      <c r="D165" s="3">
        <v>46113</v>
      </c>
      <c r="E165" t="str">
        <f>IFERROR(VLOOKUP(B165,Assets_Master!A:E,5,FALSE),"Unknown")</f>
        <v>Cisco Systems</v>
      </c>
      <c r="F165" t="str">
        <f>IFERROR(VLOOKUP(B165,Assets_Master!A:J,10,FALSE),"Unknown")</f>
        <v>AMER</v>
      </c>
      <c r="G165">
        <v>2</v>
      </c>
      <c r="H165">
        <f>IF(AND(C165&lt;&gt;"",D165&lt;&gt;""),NETWORKDAYS(C165,D165),0)</f>
        <v>3</v>
      </c>
      <c r="I165" t="str">
        <f>IF(H165&gt;G165,"YES","NO")</f>
        <v>YES</v>
      </c>
      <c r="J165" t="str">
        <f>TEXT(C165,"mmm-yyyy")</f>
        <v>Mar-2026</v>
      </c>
    </row>
    <row r="166" spans="1:10" x14ac:dyDescent="0.25">
      <c r="A166" t="s">
        <v>318</v>
      </c>
      <c r="B166" t="s">
        <v>1297</v>
      </c>
      <c r="C166" s="3">
        <v>46094</v>
      </c>
      <c r="D166" s="3">
        <v>46096</v>
      </c>
      <c r="E166" t="str">
        <f>IFERROR(VLOOKUP(B166,Assets_Master!A:E,5,FALSE),"Unknown")</f>
        <v>Lenovo Pro</v>
      </c>
      <c r="F166" t="str">
        <f>IFERROR(VLOOKUP(B166,Assets_Master!A:J,10,FALSE),"Unknown")</f>
        <v>LATAM</v>
      </c>
      <c r="G166">
        <v>2</v>
      </c>
      <c r="H166">
        <f>IF(AND(C166&lt;&gt;"",D166&lt;&gt;""),NETWORKDAYS(C166,D166),0)</f>
        <v>1</v>
      </c>
      <c r="I166" t="str">
        <f>IF(H166&gt;G166,"YES","NO")</f>
        <v>NO</v>
      </c>
      <c r="J166" t="str">
        <f>TEXT(C166,"mmm-yyyy")</f>
        <v>Mar-2026</v>
      </c>
    </row>
    <row r="167" spans="1:10" x14ac:dyDescent="0.25">
      <c r="A167" t="s">
        <v>319</v>
      </c>
      <c r="B167" t="s">
        <v>888</v>
      </c>
      <c r="C167" s="3">
        <v>46095</v>
      </c>
      <c r="D167" s="3">
        <v>46096</v>
      </c>
      <c r="E167" t="str">
        <f>IFERROR(VLOOKUP(B167,Assets_Master!A:E,5,FALSE),"Unknown")</f>
        <v>HP Inc</v>
      </c>
      <c r="F167" t="str">
        <f>IFERROR(VLOOKUP(B167,Assets_Master!A:J,10,FALSE),"Unknown")</f>
        <v>APAC</v>
      </c>
      <c r="G167">
        <v>2</v>
      </c>
      <c r="H167">
        <f>IF(AND(C167&lt;&gt;"",D167&lt;&gt;""),NETWORKDAYS(C167,D167),0)</f>
        <v>0</v>
      </c>
      <c r="I167" t="str">
        <f>IF(H167&gt;G167,"YES","NO")</f>
        <v>NO</v>
      </c>
      <c r="J167" t="str">
        <f>TEXT(C167,"mmm-yyyy")</f>
        <v>Mar-2026</v>
      </c>
    </row>
    <row r="168" spans="1:10" x14ac:dyDescent="0.25">
      <c r="A168" t="s">
        <v>320</v>
      </c>
      <c r="B168" t="s">
        <v>100</v>
      </c>
      <c r="C168" s="3">
        <v>46101</v>
      </c>
      <c r="D168" s="3">
        <v>46103</v>
      </c>
      <c r="E168" t="str">
        <f>IFERROR(VLOOKUP(B168,Assets_Master!A:E,5,FALSE),"Unknown")</f>
        <v>Samsung IT</v>
      </c>
      <c r="F168" t="str">
        <f>IFERROR(VLOOKUP(B168,Assets_Master!A:J,10,FALSE),"Unknown")</f>
        <v>APAC</v>
      </c>
      <c r="G168">
        <v>2</v>
      </c>
      <c r="H168">
        <f>IF(AND(C168&lt;&gt;"",D168&lt;&gt;""),NETWORKDAYS(C168,D168),0)</f>
        <v>1</v>
      </c>
      <c r="I168" t="str">
        <f>IF(H168&gt;G168,"YES","NO")</f>
        <v>NO</v>
      </c>
      <c r="J168" t="str">
        <f>TEXT(C168,"mmm-yyyy")</f>
        <v>Mar-2026</v>
      </c>
    </row>
    <row r="169" spans="1:10" x14ac:dyDescent="0.25">
      <c r="A169" t="s">
        <v>321</v>
      </c>
      <c r="B169" t="s">
        <v>685</v>
      </c>
      <c r="C169" s="3">
        <v>46095</v>
      </c>
      <c r="D169" s="3">
        <v>46097</v>
      </c>
      <c r="E169" t="str">
        <f>IFERROR(VLOOKUP(B169,Assets_Master!A:E,5,FALSE),"Unknown")</f>
        <v>Apple Enterprise</v>
      </c>
      <c r="F169" t="str">
        <f>IFERROR(VLOOKUP(B169,Assets_Master!A:J,10,FALSE),"Unknown")</f>
        <v>LATAM</v>
      </c>
      <c r="G169">
        <v>2</v>
      </c>
      <c r="H169">
        <f>IF(AND(C169&lt;&gt;"",D169&lt;&gt;""),NETWORKDAYS(C169,D169),0)</f>
        <v>1</v>
      </c>
      <c r="I169" t="str">
        <f>IF(H169&gt;G169,"YES","NO")</f>
        <v>NO</v>
      </c>
      <c r="J169" t="str">
        <f>TEXT(C169,"mmm-yyyy")</f>
        <v>Mar-2026</v>
      </c>
    </row>
    <row r="170" spans="1:10" x14ac:dyDescent="0.25">
      <c r="A170" t="s">
        <v>322</v>
      </c>
      <c r="B170" t="s">
        <v>1268</v>
      </c>
      <c r="C170" s="3">
        <v>46107</v>
      </c>
      <c r="D170" s="3">
        <v>46108</v>
      </c>
      <c r="E170" t="str">
        <f>IFERROR(VLOOKUP(B170,Assets_Master!A:E,5,FALSE),"Unknown")</f>
        <v>Dell Global</v>
      </c>
      <c r="F170" t="str">
        <f>IFERROR(VLOOKUP(B170,Assets_Master!A:J,10,FALSE),"Unknown")</f>
        <v>LATAM</v>
      </c>
      <c r="G170">
        <v>2</v>
      </c>
      <c r="H170">
        <f>IF(AND(C170&lt;&gt;"",D170&lt;&gt;""),NETWORKDAYS(C170,D170),0)</f>
        <v>2</v>
      </c>
      <c r="I170" t="str">
        <f>IF(H170&gt;G170,"YES","NO")</f>
        <v>NO</v>
      </c>
      <c r="J170" t="str">
        <f>TEXT(C170,"mmm-yyyy")</f>
        <v>Mar-2026</v>
      </c>
    </row>
    <row r="171" spans="1:10" x14ac:dyDescent="0.25">
      <c r="A171" t="s">
        <v>323</v>
      </c>
      <c r="B171" t="s">
        <v>1605</v>
      </c>
      <c r="C171" s="3">
        <v>46094</v>
      </c>
      <c r="D171" s="3">
        <v>46095</v>
      </c>
      <c r="E171" t="str">
        <f>IFERROR(VLOOKUP(B171,Assets_Master!A:E,5,FALSE),"Unknown")</f>
        <v>HP Inc</v>
      </c>
      <c r="F171" t="str">
        <f>IFERROR(VLOOKUP(B171,Assets_Master!A:J,10,FALSE),"Unknown")</f>
        <v>AMER</v>
      </c>
      <c r="G171">
        <v>2</v>
      </c>
      <c r="H171">
        <f>IF(AND(C171&lt;&gt;"",D171&lt;&gt;""),NETWORKDAYS(C171,D171),0)</f>
        <v>1</v>
      </c>
      <c r="I171" t="str">
        <f>IF(H171&gt;G171,"YES","NO")</f>
        <v>NO</v>
      </c>
      <c r="J171" t="str">
        <f>TEXT(C171,"mmm-yyyy")</f>
        <v>Mar-2026</v>
      </c>
    </row>
    <row r="172" spans="1:10" x14ac:dyDescent="0.25">
      <c r="A172" t="s">
        <v>324</v>
      </c>
      <c r="B172" t="s">
        <v>1754</v>
      </c>
      <c r="C172" s="3">
        <v>46094</v>
      </c>
      <c r="D172" s="3">
        <v>46096</v>
      </c>
      <c r="E172" t="str">
        <f>IFERROR(VLOOKUP(B172,Assets_Master!A:E,5,FALSE),"Unknown")</f>
        <v>Fujitsu</v>
      </c>
      <c r="F172" t="str">
        <f>IFERROR(VLOOKUP(B172,Assets_Master!A:J,10,FALSE),"Unknown")</f>
        <v>EMEA</v>
      </c>
      <c r="G172">
        <v>2</v>
      </c>
      <c r="H172">
        <f>IF(AND(C172&lt;&gt;"",D172&lt;&gt;""),NETWORKDAYS(C172,D172),0)</f>
        <v>1</v>
      </c>
      <c r="I172" t="str">
        <f>IF(H172&gt;G172,"YES","NO")</f>
        <v>NO</v>
      </c>
      <c r="J172" t="str">
        <f>TEXT(C172,"mmm-yyyy")</f>
        <v>Mar-2026</v>
      </c>
    </row>
    <row r="173" spans="1:10" x14ac:dyDescent="0.25">
      <c r="A173" t="s">
        <v>325</v>
      </c>
      <c r="B173" t="s">
        <v>832</v>
      </c>
      <c r="C173" s="3">
        <v>46112</v>
      </c>
      <c r="D173" s="3">
        <v>46114</v>
      </c>
      <c r="E173" t="str">
        <f>IFERROR(VLOOKUP(B173,Assets_Master!A:E,5,FALSE),"Unknown")</f>
        <v>HP Inc</v>
      </c>
      <c r="F173" t="str">
        <f>IFERROR(VLOOKUP(B173,Assets_Master!A:J,10,FALSE),"Unknown")</f>
        <v>AMER</v>
      </c>
      <c r="G173">
        <v>2</v>
      </c>
      <c r="H173">
        <f>IF(AND(C173&lt;&gt;"",D173&lt;&gt;""),NETWORKDAYS(C173,D173),0)</f>
        <v>3</v>
      </c>
      <c r="I173" t="str">
        <f>IF(H173&gt;G173,"YES","NO")</f>
        <v>YES</v>
      </c>
      <c r="J173" t="str">
        <f>TEXT(C173,"mmm-yyyy")</f>
        <v>Mar-2026</v>
      </c>
    </row>
    <row r="174" spans="1:10" x14ac:dyDescent="0.25">
      <c r="A174" t="s">
        <v>326</v>
      </c>
      <c r="B174" t="s">
        <v>1366</v>
      </c>
      <c r="C174" s="3">
        <v>46094</v>
      </c>
      <c r="D174" s="3">
        <v>46095</v>
      </c>
      <c r="E174" t="str">
        <f>IFERROR(VLOOKUP(B174,Assets_Master!A:E,5,FALSE),"Unknown")</f>
        <v>Cisco Systems</v>
      </c>
      <c r="F174" t="str">
        <f>IFERROR(VLOOKUP(B174,Assets_Master!A:J,10,FALSE),"Unknown")</f>
        <v>AMER</v>
      </c>
      <c r="G174">
        <v>2</v>
      </c>
      <c r="H174">
        <f>IF(AND(C174&lt;&gt;"",D174&lt;&gt;""),NETWORKDAYS(C174,D174),0)</f>
        <v>1</v>
      </c>
      <c r="I174" t="str">
        <f>IF(H174&gt;G174,"YES","NO")</f>
        <v>NO</v>
      </c>
      <c r="J174" t="str">
        <f>TEXT(C174,"mmm-yyyy")</f>
        <v>Mar-2026</v>
      </c>
    </row>
    <row r="175" spans="1:10" x14ac:dyDescent="0.25">
      <c r="A175" t="s">
        <v>327</v>
      </c>
      <c r="B175" t="s">
        <v>1811</v>
      </c>
      <c r="C175" s="3">
        <v>46099</v>
      </c>
      <c r="D175" s="3">
        <v>46101</v>
      </c>
      <c r="E175" t="str">
        <f>IFERROR(VLOOKUP(B175,Assets_Master!A:E,5,FALSE),"Unknown")</f>
        <v>HP Inc</v>
      </c>
      <c r="F175" t="str">
        <f>IFERROR(VLOOKUP(B175,Assets_Master!A:J,10,FALSE),"Unknown")</f>
        <v>AMER</v>
      </c>
      <c r="G175">
        <v>2</v>
      </c>
      <c r="H175">
        <f>IF(AND(C175&lt;&gt;"",D175&lt;&gt;""),NETWORKDAYS(C175,D175),0)</f>
        <v>3</v>
      </c>
      <c r="I175" t="str">
        <f>IF(H175&gt;G175,"YES","NO")</f>
        <v>YES</v>
      </c>
      <c r="J175" t="str">
        <f>TEXT(C175,"mmm-yyyy")</f>
        <v>Mar-2026</v>
      </c>
    </row>
    <row r="176" spans="1:10" x14ac:dyDescent="0.25">
      <c r="A176" t="s">
        <v>328</v>
      </c>
      <c r="B176" t="s">
        <v>1260</v>
      </c>
      <c r="C176" s="3">
        <v>46096</v>
      </c>
      <c r="D176" s="3">
        <v>46097</v>
      </c>
      <c r="E176" t="str">
        <f>IFERROR(VLOOKUP(B176,Assets_Master!A:E,5,FALSE),"Unknown")</f>
        <v>Cisco Systems</v>
      </c>
      <c r="F176" t="str">
        <f>IFERROR(VLOOKUP(B176,Assets_Master!A:J,10,FALSE),"Unknown")</f>
        <v>EMEA</v>
      </c>
      <c r="G176">
        <v>2</v>
      </c>
      <c r="H176">
        <f>IF(AND(C176&lt;&gt;"",D176&lt;&gt;""),NETWORKDAYS(C176,D176),0)</f>
        <v>1</v>
      </c>
      <c r="I176" t="str">
        <f>IF(H176&gt;G176,"YES","NO")</f>
        <v>NO</v>
      </c>
      <c r="J176" t="str">
        <f>TEXT(C176,"mmm-yyyy")</f>
        <v>Mar-2026</v>
      </c>
    </row>
    <row r="177" spans="1:10" x14ac:dyDescent="0.25">
      <c r="A177" t="s">
        <v>329</v>
      </c>
      <c r="B177" t="s">
        <v>2037</v>
      </c>
      <c r="C177" s="3">
        <v>46120</v>
      </c>
      <c r="D177" s="3">
        <v>46121</v>
      </c>
      <c r="E177" t="str">
        <f>IFERROR(VLOOKUP(B177,Assets_Master!A:E,5,FALSE),"Unknown")</f>
        <v>Lenovo Pro</v>
      </c>
      <c r="F177" t="str">
        <f>IFERROR(VLOOKUP(B177,Assets_Master!A:J,10,FALSE),"Unknown")</f>
        <v>EMEA</v>
      </c>
      <c r="G177">
        <v>2</v>
      </c>
      <c r="H177">
        <f>IF(AND(C177&lt;&gt;"",D177&lt;&gt;""),NETWORKDAYS(C177,D177),0)</f>
        <v>2</v>
      </c>
      <c r="I177" t="str">
        <f>IF(H177&gt;G177,"YES","NO")</f>
        <v>NO</v>
      </c>
      <c r="J177" t="str">
        <f>TEXT(C177,"mmm-yyyy")</f>
        <v>Apr-2026</v>
      </c>
    </row>
    <row r="178" spans="1:10" x14ac:dyDescent="0.25">
      <c r="A178" t="s">
        <v>330</v>
      </c>
      <c r="B178" t="s">
        <v>848</v>
      </c>
      <c r="C178" s="3">
        <v>46112</v>
      </c>
      <c r="D178" s="3">
        <v>46113</v>
      </c>
      <c r="E178" t="str">
        <f>IFERROR(VLOOKUP(B178,Assets_Master!A:E,5,FALSE),"Unknown")</f>
        <v>Dell Global</v>
      </c>
      <c r="F178" t="str">
        <f>IFERROR(VLOOKUP(B178,Assets_Master!A:J,10,FALSE),"Unknown")</f>
        <v>LATAM</v>
      </c>
      <c r="G178">
        <v>2</v>
      </c>
      <c r="H178">
        <f>IF(AND(C178&lt;&gt;"",D178&lt;&gt;""),NETWORKDAYS(C178,D178),0)</f>
        <v>2</v>
      </c>
      <c r="I178" t="str">
        <f>IF(H178&gt;G178,"YES","NO")</f>
        <v>NO</v>
      </c>
      <c r="J178" t="str">
        <f>TEXT(C178,"mmm-yyyy")</f>
        <v>Mar-2026</v>
      </c>
    </row>
    <row r="179" spans="1:10" x14ac:dyDescent="0.25">
      <c r="A179" t="s">
        <v>331</v>
      </c>
      <c r="B179" t="s">
        <v>1270</v>
      </c>
      <c r="C179" s="3">
        <v>46120</v>
      </c>
      <c r="D179" s="3">
        <v>46121</v>
      </c>
      <c r="E179" t="str">
        <f>IFERROR(VLOOKUP(B179,Assets_Master!A:E,5,FALSE),"Unknown")</f>
        <v>Apple Enterprise</v>
      </c>
      <c r="F179" t="str">
        <f>IFERROR(VLOOKUP(B179,Assets_Master!A:J,10,FALSE),"Unknown")</f>
        <v>LATAM</v>
      </c>
      <c r="G179">
        <v>2</v>
      </c>
      <c r="H179">
        <f>IF(AND(C179&lt;&gt;"",D179&lt;&gt;""),NETWORKDAYS(C179,D179),0)</f>
        <v>2</v>
      </c>
      <c r="I179" t="str">
        <f>IF(H179&gt;G179,"YES","NO")</f>
        <v>NO</v>
      </c>
      <c r="J179" t="str">
        <f>TEXT(C179,"mmm-yyyy")</f>
        <v>Apr-2026</v>
      </c>
    </row>
    <row r="180" spans="1:10" x14ac:dyDescent="0.25">
      <c r="A180" t="s">
        <v>332</v>
      </c>
      <c r="B180" t="s">
        <v>757</v>
      </c>
      <c r="C180" s="3">
        <v>46107</v>
      </c>
      <c r="D180" s="3">
        <v>46108</v>
      </c>
      <c r="E180" t="str">
        <f>IFERROR(VLOOKUP(B180,Assets_Master!A:E,5,FALSE),"Unknown")</f>
        <v>Apple Enterprise</v>
      </c>
      <c r="F180" t="str">
        <f>IFERROR(VLOOKUP(B180,Assets_Master!A:J,10,FALSE),"Unknown")</f>
        <v>AMER</v>
      </c>
      <c r="G180">
        <v>2</v>
      </c>
      <c r="H180">
        <f>IF(AND(C180&lt;&gt;"",D180&lt;&gt;""),NETWORKDAYS(C180,D180),0)</f>
        <v>2</v>
      </c>
      <c r="I180" t="str">
        <f>IF(H180&gt;G180,"YES","NO")</f>
        <v>NO</v>
      </c>
      <c r="J180" t="str">
        <f>TEXT(C180,"mmm-yyyy")</f>
        <v>Mar-2026</v>
      </c>
    </row>
    <row r="181" spans="1:10" x14ac:dyDescent="0.25">
      <c r="A181" t="s">
        <v>333</v>
      </c>
      <c r="B181" t="s">
        <v>1389</v>
      </c>
      <c r="C181" s="3">
        <v>46117</v>
      </c>
      <c r="D181" s="3">
        <v>46119</v>
      </c>
      <c r="E181" t="str">
        <f>IFERROR(VLOOKUP(B181,Assets_Master!A:E,5,FALSE),"Unknown")</f>
        <v>Apple Enterprise</v>
      </c>
      <c r="F181" t="str">
        <f>IFERROR(VLOOKUP(B181,Assets_Master!A:J,10,FALSE),"Unknown")</f>
        <v>AMER</v>
      </c>
      <c r="G181">
        <v>2</v>
      </c>
      <c r="H181">
        <f>IF(AND(C181&lt;&gt;"",D181&lt;&gt;""),NETWORKDAYS(C181,D181),0)</f>
        <v>2</v>
      </c>
      <c r="I181" t="str">
        <f>IF(H181&gt;G181,"YES","NO")</f>
        <v>NO</v>
      </c>
      <c r="J181" t="str">
        <f>TEXT(C181,"mmm-yyyy")</f>
        <v>Apr-2026</v>
      </c>
    </row>
    <row r="182" spans="1:10" x14ac:dyDescent="0.25">
      <c r="A182" t="s">
        <v>334</v>
      </c>
      <c r="B182" t="s">
        <v>1980</v>
      </c>
      <c r="C182" s="3">
        <v>46116</v>
      </c>
      <c r="D182" s="3">
        <v>46118</v>
      </c>
      <c r="E182" t="str">
        <f>IFERROR(VLOOKUP(B182,Assets_Master!A:E,5,FALSE),"Unknown")</f>
        <v>Apple Enterprise</v>
      </c>
      <c r="F182" t="str">
        <f>IFERROR(VLOOKUP(B182,Assets_Master!A:J,10,FALSE),"Unknown")</f>
        <v>AMER</v>
      </c>
      <c r="G182">
        <v>2</v>
      </c>
      <c r="H182">
        <f>IF(AND(C182&lt;&gt;"",D182&lt;&gt;""),NETWORKDAYS(C182,D182),0)</f>
        <v>1</v>
      </c>
      <c r="I182" t="str">
        <f>IF(H182&gt;G182,"YES","NO")</f>
        <v>NO</v>
      </c>
      <c r="J182" t="str">
        <f>TEXT(C182,"mmm-yyyy")</f>
        <v>Apr-2026</v>
      </c>
    </row>
    <row r="183" spans="1:10" x14ac:dyDescent="0.25">
      <c r="A183" t="s">
        <v>335</v>
      </c>
      <c r="B183" t="s">
        <v>1493</v>
      </c>
      <c r="C183" s="3">
        <v>46099</v>
      </c>
      <c r="D183" s="3">
        <v>46100</v>
      </c>
      <c r="E183" t="str">
        <f>IFERROR(VLOOKUP(B183,Assets_Master!A:E,5,FALSE),"Unknown")</f>
        <v>Fujitsu</v>
      </c>
      <c r="F183" t="str">
        <f>IFERROR(VLOOKUP(B183,Assets_Master!A:J,10,FALSE),"Unknown")</f>
        <v>APAC</v>
      </c>
      <c r="G183">
        <v>2</v>
      </c>
      <c r="H183">
        <f>IF(AND(C183&lt;&gt;"",D183&lt;&gt;""),NETWORKDAYS(C183,D183),0)</f>
        <v>2</v>
      </c>
      <c r="I183" t="str">
        <f>IF(H183&gt;G183,"YES","NO")</f>
        <v>NO</v>
      </c>
      <c r="J183" t="str">
        <f>TEXT(C183,"mmm-yyyy")</f>
        <v>Mar-2026</v>
      </c>
    </row>
    <row r="184" spans="1:10" x14ac:dyDescent="0.25">
      <c r="A184" t="s">
        <v>336</v>
      </c>
      <c r="B184" t="s">
        <v>1822</v>
      </c>
      <c r="C184" s="3">
        <v>46112</v>
      </c>
      <c r="D184" s="3">
        <v>46114</v>
      </c>
      <c r="E184" t="str">
        <f>IFERROR(VLOOKUP(B184,Assets_Master!A:E,5,FALSE),"Unknown")</f>
        <v>Samsung IT</v>
      </c>
      <c r="F184" t="str">
        <f>IFERROR(VLOOKUP(B184,Assets_Master!A:J,10,FALSE),"Unknown")</f>
        <v>EMEA</v>
      </c>
      <c r="G184">
        <v>2</v>
      </c>
      <c r="H184">
        <f>IF(AND(C184&lt;&gt;"",D184&lt;&gt;""),NETWORKDAYS(C184,D184),0)</f>
        <v>3</v>
      </c>
      <c r="I184" t="str">
        <f>IF(H184&gt;G184,"YES","NO")</f>
        <v>YES</v>
      </c>
      <c r="J184" t="str">
        <f>TEXT(C184,"mmm-yyyy")</f>
        <v>Mar-2026</v>
      </c>
    </row>
    <row r="185" spans="1:10" x14ac:dyDescent="0.25">
      <c r="A185" t="s">
        <v>337</v>
      </c>
      <c r="B185" t="s">
        <v>1352</v>
      </c>
      <c r="C185" s="3">
        <v>46122</v>
      </c>
      <c r="D185" s="3">
        <v>46124</v>
      </c>
      <c r="E185" t="str">
        <f>IFERROR(VLOOKUP(B185,Assets_Master!A:E,5,FALSE),"Unknown")</f>
        <v>Samsung IT</v>
      </c>
      <c r="F185" t="str">
        <f>IFERROR(VLOOKUP(B185,Assets_Master!A:J,10,FALSE),"Unknown")</f>
        <v>LATAM</v>
      </c>
      <c r="G185">
        <v>2</v>
      </c>
      <c r="H185">
        <f>IF(AND(C185&lt;&gt;"",D185&lt;&gt;""),NETWORKDAYS(C185,D185),0)</f>
        <v>1</v>
      </c>
      <c r="I185" t="str">
        <f>IF(H185&gt;G185,"YES","NO")</f>
        <v>NO</v>
      </c>
      <c r="J185" t="str">
        <f>TEXT(C185,"mmm-yyyy")</f>
        <v>Apr-2026</v>
      </c>
    </row>
    <row r="186" spans="1:10" x14ac:dyDescent="0.25">
      <c r="A186" t="s">
        <v>338</v>
      </c>
      <c r="B186" t="s">
        <v>602</v>
      </c>
      <c r="C186" s="3">
        <v>46108</v>
      </c>
      <c r="D186" s="3">
        <v>46109</v>
      </c>
      <c r="E186" t="str">
        <f>IFERROR(VLOOKUP(B186,Assets_Master!A:E,5,FALSE),"Unknown")</f>
        <v>HP Inc</v>
      </c>
      <c r="F186" t="str">
        <f>IFERROR(VLOOKUP(B186,Assets_Master!A:J,10,FALSE),"Unknown")</f>
        <v>LATAM</v>
      </c>
      <c r="G186">
        <v>2</v>
      </c>
      <c r="H186">
        <f>IF(AND(C186&lt;&gt;"",D186&lt;&gt;""),NETWORKDAYS(C186,D186),0)</f>
        <v>1</v>
      </c>
      <c r="I186" t="str">
        <f>IF(H186&gt;G186,"YES","NO")</f>
        <v>NO</v>
      </c>
      <c r="J186" t="str">
        <f>TEXT(C186,"mmm-yyyy")</f>
        <v>Mar-2026</v>
      </c>
    </row>
    <row r="187" spans="1:10" x14ac:dyDescent="0.25">
      <c r="A187" t="s">
        <v>339</v>
      </c>
      <c r="B187" t="s">
        <v>1043</v>
      </c>
      <c r="C187" s="3">
        <v>46116</v>
      </c>
      <c r="D187" s="3">
        <v>46117</v>
      </c>
      <c r="E187" t="str">
        <f>IFERROR(VLOOKUP(B187,Assets_Master!A:E,5,FALSE),"Unknown")</f>
        <v>Dell Global</v>
      </c>
      <c r="F187" t="str">
        <f>IFERROR(VLOOKUP(B187,Assets_Master!A:J,10,FALSE),"Unknown")</f>
        <v>AMER</v>
      </c>
      <c r="G187">
        <v>2</v>
      </c>
      <c r="H187">
        <f>IF(AND(C187&lt;&gt;"",D187&lt;&gt;""),NETWORKDAYS(C187,D187),0)</f>
        <v>0</v>
      </c>
      <c r="I187" t="str">
        <f>IF(H187&gt;G187,"YES","NO")</f>
        <v>NO</v>
      </c>
      <c r="J187" t="str">
        <f>TEXT(C187,"mmm-yyyy")</f>
        <v>Apr-2026</v>
      </c>
    </row>
    <row r="188" spans="1:10" x14ac:dyDescent="0.25">
      <c r="A188" t="s">
        <v>340</v>
      </c>
      <c r="B188" t="s">
        <v>1476</v>
      </c>
      <c r="C188" s="3">
        <v>46097</v>
      </c>
      <c r="D188" s="3">
        <v>46098</v>
      </c>
      <c r="E188" t="str">
        <f>IFERROR(VLOOKUP(B188,Assets_Master!A:E,5,FALSE),"Unknown")</f>
        <v>Samsung IT</v>
      </c>
      <c r="F188" t="str">
        <f>IFERROR(VLOOKUP(B188,Assets_Master!A:J,10,FALSE),"Unknown")</f>
        <v>APAC</v>
      </c>
      <c r="G188">
        <v>2</v>
      </c>
      <c r="H188">
        <f>IF(AND(C188&lt;&gt;"",D188&lt;&gt;""),NETWORKDAYS(C188,D188),0)</f>
        <v>2</v>
      </c>
      <c r="I188" t="str">
        <f>IF(H188&gt;G188,"YES","NO")</f>
        <v>NO</v>
      </c>
      <c r="J188" t="str">
        <f>TEXT(C188,"mmm-yyyy")</f>
        <v>Mar-2026</v>
      </c>
    </row>
    <row r="189" spans="1:10" x14ac:dyDescent="0.25">
      <c r="A189" t="s">
        <v>341</v>
      </c>
      <c r="B189" t="s">
        <v>1027</v>
      </c>
      <c r="C189" s="3">
        <v>46118</v>
      </c>
      <c r="D189" s="3">
        <v>46120</v>
      </c>
      <c r="E189" t="str">
        <f>IFERROR(VLOOKUP(B189,Assets_Master!A:E,5,FALSE),"Unknown")</f>
        <v>Dell Global</v>
      </c>
      <c r="F189" t="str">
        <f>IFERROR(VLOOKUP(B189,Assets_Master!A:J,10,FALSE),"Unknown")</f>
        <v>APAC</v>
      </c>
      <c r="G189">
        <v>2</v>
      </c>
      <c r="H189">
        <f>IF(AND(C189&lt;&gt;"",D189&lt;&gt;""),NETWORKDAYS(C189,D189),0)</f>
        <v>3</v>
      </c>
      <c r="I189" t="str">
        <f>IF(H189&gt;G189,"YES","NO")</f>
        <v>YES</v>
      </c>
      <c r="J189" t="str">
        <f>TEXT(C189,"mmm-yyyy")</f>
        <v>Apr-2026</v>
      </c>
    </row>
    <row r="190" spans="1:10" x14ac:dyDescent="0.25">
      <c r="A190" t="s">
        <v>342</v>
      </c>
      <c r="B190" t="s">
        <v>122</v>
      </c>
      <c r="C190" s="3">
        <v>46117</v>
      </c>
      <c r="D190" s="3">
        <v>46119</v>
      </c>
      <c r="E190" t="str">
        <f>IFERROR(VLOOKUP(B190,Assets_Master!A:E,5,FALSE),"Unknown")</f>
        <v>Apple Enterprise</v>
      </c>
      <c r="F190" t="str">
        <f>IFERROR(VLOOKUP(B190,Assets_Master!A:J,10,FALSE),"Unknown")</f>
        <v>LATAM</v>
      </c>
      <c r="G190">
        <v>2</v>
      </c>
      <c r="H190">
        <f>IF(AND(C190&lt;&gt;"",D190&lt;&gt;""),NETWORKDAYS(C190,D190),0)</f>
        <v>2</v>
      </c>
      <c r="I190" t="str">
        <f>IF(H190&gt;G190,"YES","NO")</f>
        <v>NO</v>
      </c>
      <c r="J190" t="str">
        <f>TEXT(C190,"mmm-yyyy")</f>
        <v>Apr-2026</v>
      </c>
    </row>
    <row r="191" spans="1:10" x14ac:dyDescent="0.25">
      <c r="A191" t="s">
        <v>343</v>
      </c>
      <c r="B191" t="s">
        <v>2031</v>
      </c>
      <c r="C191" s="3">
        <v>46096</v>
      </c>
      <c r="D191" s="3">
        <v>46098</v>
      </c>
      <c r="E191" t="str">
        <f>IFERROR(VLOOKUP(B191,Assets_Master!A:E,5,FALSE),"Unknown")</f>
        <v>Apple Enterprise</v>
      </c>
      <c r="F191" t="str">
        <f>IFERROR(VLOOKUP(B191,Assets_Master!A:J,10,FALSE),"Unknown")</f>
        <v>APAC</v>
      </c>
      <c r="G191">
        <v>2</v>
      </c>
      <c r="H191">
        <f>IF(AND(C191&lt;&gt;"",D191&lt;&gt;""),NETWORKDAYS(C191,D191),0)</f>
        <v>2</v>
      </c>
      <c r="I191" t="str">
        <f>IF(H191&gt;G191,"YES","NO")</f>
        <v>NO</v>
      </c>
      <c r="J191" t="str">
        <f>TEXT(C191,"mmm-yyyy")</f>
        <v>Mar-2026</v>
      </c>
    </row>
    <row r="192" spans="1:10" x14ac:dyDescent="0.25">
      <c r="A192" t="s">
        <v>344</v>
      </c>
      <c r="B192" t="s">
        <v>1192</v>
      </c>
      <c r="C192" s="3">
        <v>46101</v>
      </c>
      <c r="D192" s="3">
        <v>46103</v>
      </c>
      <c r="E192" t="str">
        <f>IFERROR(VLOOKUP(B192,Assets_Master!A:E,5,FALSE),"Unknown")</f>
        <v>Fujitsu</v>
      </c>
      <c r="F192" t="str">
        <f>IFERROR(VLOOKUP(B192,Assets_Master!A:J,10,FALSE),"Unknown")</f>
        <v>LATAM</v>
      </c>
      <c r="G192">
        <v>2</v>
      </c>
      <c r="H192">
        <f>IF(AND(C192&lt;&gt;"",D192&lt;&gt;""),NETWORKDAYS(C192,D192),0)</f>
        <v>1</v>
      </c>
      <c r="I192" t="str">
        <f>IF(H192&gt;G192,"YES","NO")</f>
        <v>NO</v>
      </c>
      <c r="J192" t="str">
        <f>TEXT(C192,"mmm-yyyy")</f>
        <v>Mar-2026</v>
      </c>
    </row>
    <row r="193" spans="1:10" x14ac:dyDescent="0.25">
      <c r="A193" t="s">
        <v>345</v>
      </c>
      <c r="B193" t="s">
        <v>1547</v>
      </c>
      <c r="C193" s="3">
        <v>46098</v>
      </c>
      <c r="D193" s="3">
        <v>46099</v>
      </c>
      <c r="E193" t="str">
        <f>IFERROR(VLOOKUP(B193,Assets_Master!A:E,5,FALSE),"Unknown")</f>
        <v>HP Inc</v>
      </c>
      <c r="F193" t="str">
        <f>IFERROR(VLOOKUP(B193,Assets_Master!A:J,10,FALSE),"Unknown")</f>
        <v>APAC</v>
      </c>
      <c r="G193">
        <v>2</v>
      </c>
      <c r="H193">
        <f>IF(AND(C193&lt;&gt;"",D193&lt;&gt;""),NETWORKDAYS(C193,D193),0)</f>
        <v>2</v>
      </c>
      <c r="I193" t="str">
        <f>IF(H193&gt;G193,"YES","NO")</f>
        <v>NO</v>
      </c>
      <c r="J193" t="str">
        <f>TEXT(C193,"mmm-yyyy")</f>
        <v>Mar-2026</v>
      </c>
    </row>
    <row r="194" spans="1:10" x14ac:dyDescent="0.25">
      <c r="A194" t="s">
        <v>346</v>
      </c>
      <c r="B194" t="s">
        <v>1896</v>
      </c>
      <c r="C194" s="3">
        <v>46097</v>
      </c>
      <c r="D194" s="3">
        <v>46098</v>
      </c>
      <c r="E194" t="str">
        <f>IFERROR(VLOOKUP(B194,Assets_Master!A:E,5,FALSE),"Unknown")</f>
        <v>Samsung IT</v>
      </c>
      <c r="F194" t="str">
        <f>IFERROR(VLOOKUP(B194,Assets_Master!A:J,10,FALSE),"Unknown")</f>
        <v>EMEA</v>
      </c>
      <c r="G194">
        <v>2</v>
      </c>
      <c r="H194">
        <f>IF(AND(C194&lt;&gt;"",D194&lt;&gt;""),NETWORKDAYS(C194,D194),0)</f>
        <v>2</v>
      </c>
      <c r="I194" t="str">
        <f>IF(H194&gt;G194,"YES","NO")</f>
        <v>NO</v>
      </c>
      <c r="J194" t="str">
        <f>TEXT(C194,"mmm-yyyy")</f>
        <v>Mar-2026</v>
      </c>
    </row>
    <row r="195" spans="1:10" x14ac:dyDescent="0.25">
      <c r="A195" t="s">
        <v>347</v>
      </c>
      <c r="B195" t="s">
        <v>2031</v>
      </c>
      <c r="C195" s="3">
        <v>46112</v>
      </c>
      <c r="D195" s="3">
        <v>46114</v>
      </c>
      <c r="E195" t="str">
        <f>IFERROR(VLOOKUP(B195,Assets_Master!A:E,5,FALSE),"Unknown")</f>
        <v>Apple Enterprise</v>
      </c>
      <c r="F195" t="str">
        <f>IFERROR(VLOOKUP(B195,Assets_Master!A:J,10,FALSE),"Unknown")</f>
        <v>APAC</v>
      </c>
      <c r="G195">
        <v>2</v>
      </c>
      <c r="H195">
        <f>IF(AND(C195&lt;&gt;"",D195&lt;&gt;""),NETWORKDAYS(C195,D195),0)</f>
        <v>3</v>
      </c>
      <c r="I195" t="str">
        <f>IF(H195&gt;G195,"YES","NO")</f>
        <v>YES</v>
      </c>
      <c r="J195" t="str">
        <f>TEXT(C195,"mmm-yyyy")</f>
        <v>Mar-2026</v>
      </c>
    </row>
    <row r="196" spans="1:10" x14ac:dyDescent="0.25">
      <c r="A196" t="s">
        <v>348</v>
      </c>
      <c r="B196" t="s">
        <v>945</v>
      </c>
      <c r="C196" s="3">
        <v>46094</v>
      </c>
      <c r="D196" s="3">
        <v>46096</v>
      </c>
      <c r="E196" t="str">
        <f>IFERROR(VLOOKUP(B196,Assets_Master!A:E,5,FALSE),"Unknown")</f>
        <v>Dell Global</v>
      </c>
      <c r="F196" t="str">
        <f>IFERROR(VLOOKUP(B196,Assets_Master!A:J,10,FALSE),"Unknown")</f>
        <v>LATAM</v>
      </c>
      <c r="G196">
        <v>2</v>
      </c>
      <c r="H196">
        <f>IF(AND(C196&lt;&gt;"",D196&lt;&gt;""),NETWORKDAYS(C196,D196),0)</f>
        <v>1</v>
      </c>
      <c r="I196" t="str">
        <f>IF(H196&gt;G196,"YES","NO")</f>
        <v>NO</v>
      </c>
      <c r="J196" t="str">
        <f>TEXT(C196,"mmm-yyyy")</f>
        <v>Mar-2026</v>
      </c>
    </row>
    <row r="197" spans="1:10" x14ac:dyDescent="0.25">
      <c r="A197" t="s">
        <v>349</v>
      </c>
      <c r="B197" t="s">
        <v>873</v>
      </c>
      <c r="C197" s="3">
        <v>46116</v>
      </c>
      <c r="D197" s="3">
        <v>46118</v>
      </c>
      <c r="E197" t="str">
        <f>IFERROR(VLOOKUP(B197,Assets_Master!A:E,5,FALSE),"Unknown")</f>
        <v>Cisco Systems</v>
      </c>
      <c r="F197" t="str">
        <f>IFERROR(VLOOKUP(B197,Assets_Master!A:J,10,FALSE),"Unknown")</f>
        <v>LATAM</v>
      </c>
      <c r="G197">
        <v>2</v>
      </c>
      <c r="H197">
        <f>IF(AND(C197&lt;&gt;"",D197&lt;&gt;""),NETWORKDAYS(C197,D197),0)</f>
        <v>1</v>
      </c>
      <c r="I197" t="str">
        <f>IF(H197&gt;G197,"YES","NO")</f>
        <v>NO</v>
      </c>
      <c r="J197" t="str">
        <f>TEXT(C197,"mmm-yyyy")</f>
        <v>Apr-2026</v>
      </c>
    </row>
    <row r="198" spans="1:10" x14ac:dyDescent="0.25">
      <c r="A198" t="s">
        <v>350</v>
      </c>
      <c r="B198" t="s">
        <v>1882</v>
      </c>
      <c r="C198" s="3">
        <v>46101</v>
      </c>
      <c r="D198" s="3">
        <v>46102</v>
      </c>
      <c r="E198" t="str">
        <f>IFERROR(VLOOKUP(B198,Assets_Master!A:E,5,FALSE),"Unknown")</f>
        <v>HP Inc</v>
      </c>
      <c r="F198" t="str">
        <f>IFERROR(VLOOKUP(B198,Assets_Master!A:J,10,FALSE),"Unknown")</f>
        <v>LATAM</v>
      </c>
      <c r="G198">
        <v>2</v>
      </c>
      <c r="H198">
        <f>IF(AND(C198&lt;&gt;"",D198&lt;&gt;""),NETWORKDAYS(C198,D198),0)</f>
        <v>1</v>
      </c>
      <c r="I198" t="str">
        <f>IF(H198&gt;G198,"YES","NO")</f>
        <v>NO</v>
      </c>
      <c r="J198" t="str">
        <f>TEXT(C198,"mmm-yyyy")</f>
        <v>Mar-2026</v>
      </c>
    </row>
    <row r="199" spans="1:10" x14ac:dyDescent="0.25">
      <c r="A199" t="s">
        <v>351</v>
      </c>
      <c r="B199" t="s">
        <v>1304</v>
      </c>
      <c r="C199" s="3">
        <v>46116</v>
      </c>
      <c r="D199" s="3">
        <v>46118</v>
      </c>
      <c r="E199" t="str">
        <f>IFERROR(VLOOKUP(B199,Assets_Master!A:E,5,FALSE),"Unknown")</f>
        <v>Lenovo Pro</v>
      </c>
      <c r="F199" t="str">
        <f>IFERROR(VLOOKUP(B199,Assets_Master!A:J,10,FALSE),"Unknown")</f>
        <v>APAC</v>
      </c>
      <c r="G199">
        <v>2</v>
      </c>
      <c r="H199">
        <f>IF(AND(C199&lt;&gt;"",D199&lt;&gt;""),NETWORKDAYS(C199,D199),0)</f>
        <v>1</v>
      </c>
      <c r="I199" t="str">
        <f>IF(H199&gt;G199,"YES","NO")</f>
        <v>NO</v>
      </c>
      <c r="J199" t="str">
        <f>TEXT(C199,"mmm-yyyy")</f>
        <v>Apr-2026</v>
      </c>
    </row>
    <row r="200" spans="1:10" x14ac:dyDescent="0.25">
      <c r="A200" t="s">
        <v>352</v>
      </c>
      <c r="B200" t="s">
        <v>649</v>
      </c>
      <c r="C200" s="3">
        <v>46101</v>
      </c>
      <c r="D200" s="3">
        <v>46103</v>
      </c>
      <c r="E200" t="str">
        <f>IFERROR(VLOOKUP(B200,Assets_Master!A:E,5,FALSE),"Unknown")</f>
        <v>Fujitsu</v>
      </c>
      <c r="F200" t="str">
        <f>IFERROR(VLOOKUP(B200,Assets_Master!A:J,10,FALSE),"Unknown")</f>
        <v>EMEA</v>
      </c>
      <c r="G200">
        <v>2</v>
      </c>
      <c r="H200">
        <f>IF(AND(C200&lt;&gt;"",D200&lt;&gt;""),NETWORKDAYS(C200,D200),0)</f>
        <v>1</v>
      </c>
      <c r="I200" t="str">
        <f>IF(H200&gt;G200,"YES","NO")</f>
        <v>NO</v>
      </c>
      <c r="J200" t="str">
        <f>TEXT(C200,"mmm-yyyy")</f>
        <v>Mar-2026</v>
      </c>
    </row>
    <row r="201" spans="1:10" x14ac:dyDescent="0.25">
      <c r="A201" t="s">
        <v>353</v>
      </c>
      <c r="B201" t="s">
        <v>593</v>
      </c>
      <c r="C201" s="3">
        <v>46115</v>
      </c>
      <c r="D201" s="3">
        <v>46117</v>
      </c>
      <c r="E201" t="str">
        <f>IFERROR(VLOOKUP(B201,Assets_Master!A:E,5,FALSE),"Unknown")</f>
        <v>Fujitsu</v>
      </c>
      <c r="F201" t="str">
        <f>IFERROR(VLOOKUP(B201,Assets_Master!A:J,10,FALSE),"Unknown")</f>
        <v>EMEA</v>
      </c>
      <c r="G201">
        <v>2</v>
      </c>
      <c r="H201">
        <f>IF(AND(C201&lt;&gt;"",D201&lt;&gt;""),NETWORKDAYS(C201,D201),0)</f>
        <v>1</v>
      </c>
      <c r="I201" t="str">
        <f>IF(H201&gt;G201,"YES","NO")</f>
        <v>NO</v>
      </c>
      <c r="J201" t="str">
        <f>TEXT(C201,"mmm-yyyy")</f>
        <v>Apr-2026</v>
      </c>
    </row>
    <row r="202" spans="1:10" x14ac:dyDescent="0.25">
      <c r="A202" t="s">
        <v>354</v>
      </c>
      <c r="B202" t="s">
        <v>1502</v>
      </c>
      <c r="C202" s="3">
        <v>46106</v>
      </c>
      <c r="D202" s="3">
        <v>46107</v>
      </c>
      <c r="E202" t="str">
        <f>IFERROR(VLOOKUP(B202,Assets_Master!A:E,5,FALSE),"Unknown")</f>
        <v>Samsung IT</v>
      </c>
      <c r="F202" t="str">
        <f>IFERROR(VLOOKUP(B202,Assets_Master!A:J,10,FALSE),"Unknown")</f>
        <v>AMER</v>
      </c>
      <c r="G202">
        <v>2</v>
      </c>
      <c r="H202">
        <f>IF(AND(C202&lt;&gt;"",D202&lt;&gt;""),NETWORKDAYS(C202,D202),0)</f>
        <v>2</v>
      </c>
      <c r="I202" t="str">
        <f>IF(H202&gt;G202,"YES","NO")</f>
        <v>NO</v>
      </c>
      <c r="J202" t="str">
        <f>TEXT(C202,"mmm-yyyy")</f>
        <v>Mar-2026</v>
      </c>
    </row>
    <row r="203" spans="1:10" x14ac:dyDescent="0.25">
      <c r="A203" t="s">
        <v>355</v>
      </c>
      <c r="B203" t="s">
        <v>811</v>
      </c>
      <c r="C203" s="3">
        <v>46106</v>
      </c>
      <c r="D203" s="3">
        <v>46108</v>
      </c>
      <c r="E203" t="str">
        <f>IFERROR(VLOOKUP(B203,Assets_Master!A:E,5,FALSE),"Unknown")</f>
        <v>Samsung IT</v>
      </c>
      <c r="F203" t="str">
        <f>IFERROR(VLOOKUP(B203,Assets_Master!A:J,10,FALSE),"Unknown")</f>
        <v>EMEA</v>
      </c>
      <c r="G203">
        <v>2</v>
      </c>
      <c r="H203">
        <f>IF(AND(C203&lt;&gt;"",D203&lt;&gt;""),NETWORKDAYS(C203,D203),0)</f>
        <v>3</v>
      </c>
      <c r="I203" t="str">
        <f>IF(H203&gt;G203,"YES","NO")</f>
        <v>YES</v>
      </c>
      <c r="J203" t="str">
        <f>TEXT(C203,"mmm-yyyy")</f>
        <v>Mar-2026</v>
      </c>
    </row>
    <row r="204" spans="1:10" x14ac:dyDescent="0.25">
      <c r="A204" t="s">
        <v>356</v>
      </c>
      <c r="B204" t="s">
        <v>1690</v>
      </c>
      <c r="C204" s="3">
        <v>46100</v>
      </c>
      <c r="D204" s="3">
        <v>46101</v>
      </c>
      <c r="E204" t="str">
        <f>IFERROR(VLOOKUP(B204,Assets_Master!A:E,5,FALSE),"Unknown")</f>
        <v>Dell Global</v>
      </c>
      <c r="F204" t="str">
        <f>IFERROR(VLOOKUP(B204,Assets_Master!A:J,10,FALSE),"Unknown")</f>
        <v>APAC</v>
      </c>
      <c r="G204">
        <v>2</v>
      </c>
      <c r="H204">
        <f>IF(AND(C204&lt;&gt;"",D204&lt;&gt;""),NETWORKDAYS(C204,D204),0)</f>
        <v>2</v>
      </c>
      <c r="I204" t="str">
        <f>IF(H204&gt;G204,"YES","NO")</f>
        <v>NO</v>
      </c>
      <c r="J204" t="str">
        <f>TEXT(C204,"mmm-yyyy")</f>
        <v>Mar-2026</v>
      </c>
    </row>
    <row r="205" spans="1:10" x14ac:dyDescent="0.25">
      <c r="A205" t="s">
        <v>357</v>
      </c>
      <c r="B205" t="s">
        <v>1513</v>
      </c>
      <c r="C205" s="3">
        <v>46104</v>
      </c>
      <c r="D205" s="3">
        <v>46106</v>
      </c>
      <c r="E205" t="str">
        <f>IFERROR(VLOOKUP(B205,Assets_Master!A:E,5,FALSE),"Unknown")</f>
        <v>Samsung IT</v>
      </c>
      <c r="F205" t="str">
        <f>IFERROR(VLOOKUP(B205,Assets_Master!A:J,10,FALSE),"Unknown")</f>
        <v>EMEA</v>
      </c>
      <c r="G205">
        <v>2</v>
      </c>
      <c r="H205">
        <f>IF(AND(C205&lt;&gt;"",D205&lt;&gt;""),NETWORKDAYS(C205,D205),0)</f>
        <v>3</v>
      </c>
      <c r="I205" t="str">
        <f>IF(H205&gt;G205,"YES","NO")</f>
        <v>YES</v>
      </c>
      <c r="J205" t="str">
        <f>TEXT(C205,"mmm-yyyy")</f>
        <v>Mar-2026</v>
      </c>
    </row>
    <row r="206" spans="1:10" x14ac:dyDescent="0.25">
      <c r="A206" t="s">
        <v>358</v>
      </c>
      <c r="B206" t="s">
        <v>1413</v>
      </c>
      <c r="C206" s="3">
        <v>46109</v>
      </c>
      <c r="D206" s="3">
        <v>46110</v>
      </c>
      <c r="E206" t="str">
        <f>IFERROR(VLOOKUP(B206,Assets_Master!A:E,5,FALSE),"Unknown")</f>
        <v>Lenovo Pro</v>
      </c>
      <c r="F206" t="str">
        <f>IFERROR(VLOOKUP(B206,Assets_Master!A:J,10,FALSE),"Unknown")</f>
        <v>LATAM</v>
      </c>
      <c r="G206">
        <v>2</v>
      </c>
      <c r="H206">
        <f>IF(AND(C206&lt;&gt;"",D206&lt;&gt;""),NETWORKDAYS(C206,D206),0)</f>
        <v>0</v>
      </c>
      <c r="I206" t="str">
        <f>IF(H206&gt;G206,"YES","NO")</f>
        <v>NO</v>
      </c>
      <c r="J206" t="str">
        <f>TEXT(C206,"mmm-yyyy")</f>
        <v>Mar-2026</v>
      </c>
    </row>
    <row r="207" spans="1:10" x14ac:dyDescent="0.25">
      <c r="A207" t="s">
        <v>359</v>
      </c>
      <c r="B207" t="s">
        <v>1953</v>
      </c>
      <c r="C207" s="3">
        <v>46108</v>
      </c>
      <c r="D207" s="3">
        <v>46110</v>
      </c>
      <c r="E207" t="str">
        <f>IFERROR(VLOOKUP(B207,Assets_Master!A:E,5,FALSE),"Unknown")</f>
        <v>Lenovo Pro</v>
      </c>
      <c r="F207" t="str">
        <f>IFERROR(VLOOKUP(B207,Assets_Master!A:J,10,FALSE),"Unknown")</f>
        <v>LATAM</v>
      </c>
      <c r="G207">
        <v>2</v>
      </c>
      <c r="H207">
        <f>IF(AND(C207&lt;&gt;"",D207&lt;&gt;""),NETWORKDAYS(C207,D207),0)</f>
        <v>1</v>
      </c>
      <c r="I207" t="str">
        <f>IF(H207&gt;G207,"YES","NO")</f>
        <v>NO</v>
      </c>
      <c r="J207" t="str">
        <f>TEXT(C207,"mmm-yyyy")</f>
        <v>Mar-2026</v>
      </c>
    </row>
    <row r="208" spans="1:10" x14ac:dyDescent="0.25">
      <c r="A208" t="s">
        <v>360</v>
      </c>
      <c r="B208" t="s">
        <v>1027</v>
      </c>
      <c r="C208" s="3">
        <v>46098</v>
      </c>
      <c r="D208" s="3">
        <v>46100</v>
      </c>
      <c r="E208" t="str">
        <f>IFERROR(VLOOKUP(B208,Assets_Master!A:E,5,FALSE),"Unknown")</f>
        <v>Dell Global</v>
      </c>
      <c r="F208" t="str">
        <f>IFERROR(VLOOKUP(B208,Assets_Master!A:J,10,FALSE),"Unknown")</f>
        <v>APAC</v>
      </c>
      <c r="G208">
        <v>2</v>
      </c>
      <c r="H208">
        <f>IF(AND(C208&lt;&gt;"",D208&lt;&gt;""),NETWORKDAYS(C208,D208),0)</f>
        <v>3</v>
      </c>
      <c r="I208" t="str">
        <f>IF(H208&gt;G208,"YES","NO")</f>
        <v>YES</v>
      </c>
      <c r="J208" t="str">
        <f>TEXT(C208,"mmm-yyyy")</f>
        <v>Mar-2026</v>
      </c>
    </row>
    <row r="209" spans="1:10" x14ac:dyDescent="0.25">
      <c r="A209" t="s">
        <v>361</v>
      </c>
      <c r="B209" t="s">
        <v>1946</v>
      </c>
      <c r="C209" s="3">
        <v>46094</v>
      </c>
      <c r="D209" s="3">
        <v>46096</v>
      </c>
      <c r="E209" t="str">
        <f>IFERROR(VLOOKUP(B209,Assets_Master!A:E,5,FALSE),"Unknown")</f>
        <v>Fujitsu</v>
      </c>
      <c r="F209" t="str">
        <f>IFERROR(VLOOKUP(B209,Assets_Master!A:J,10,FALSE),"Unknown")</f>
        <v>AMER</v>
      </c>
      <c r="G209">
        <v>2</v>
      </c>
      <c r="H209">
        <f>IF(AND(C209&lt;&gt;"",D209&lt;&gt;""),NETWORKDAYS(C209,D209),0)</f>
        <v>1</v>
      </c>
      <c r="I209" t="str">
        <f>IF(H209&gt;G209,"YES","NO")</f>
        <v>NO</v>
      </c>
      <c r="J209" t="str">
        <f>TEXT(C209,"mmm-yyyy")</f>
        <v>Mar-2026</v>
      </c>
    </row>
    <row r="210" spans="1:10" x14ac:dyDescent="0.25">
      <c r="A210" t="s">
        <v>362</v>
      </c>
      <c r="B210" t="s">
        <v>1893</v>
      </c>
      <c r="C210" s="3">
        <v>46116</v>
      </c>
      <c r="D210" s="3">
        <v>46117</v>
      </c>
      <c r="E210" t="str">
        <f>IFERROR(VLOOKUP(B210,Assets_Master!A:E,5,FALSE),"Unknown")</f>
        <v>Dell Global</v>
      </c>
      <c r="F210" t="str">
        <f>IFERROR(VLOOKUP(B210,Assets_Master!A:J,10,FALSE),"Unknown")</f>
        <v>APAC</v>
      </c>
      <c r="G210">
        <v>2</v>
      </c>
      <c r="H210">
        <f>IF(AND(C210&lt;&gt;"",D210&lt;&gt;""),NETWORKDAYS(C210,D210),0)</f>
        <v>0</v>
      </c>
      <c r="I210" t="str">
        <f>IF(H210&gt;G210,"YES","NO")</f>
        <v>NO</v>
      </c>
      <c r="J210" t="str">
        <f>TEXT(C210,"mmm-yyyy")</f>
        <v>Apr-2026</v>
      </c>
    </row>
    <row r="211" spans="1:10" x14ac:dyDescent="0.25">
      <c r="A211" t="s">
        <v>363</v>
      </c>
      <c r="B211" t="s">
        <v>1105</v>
      </c>
      <c r="C211" s="3">
        <v>46118</v>
      </c>
      <c r="D211" s="3">
        <v>46119</v>
      </c>
      <c r="E211" t="str">
        <f>IFERROR(VLOOKUP(B211,Assets_Master!A:E,5,FALSE),"Unknown")</f>
        <v>HP Inc</v>
      </c>
      <c r="F211" t="str">
        <f>IFERROR(VLOOKUP(B211,Assets_Master!A:J,10,FALSE),"Unknown")</f>
        <v>LATAM</v>
      </c>
      <c r="G211">
        <v>2</v>
      </c>
      <c r="H211">
        <f>IF(AND(C211&lt;&gt;"",D211&lt;&gt;""),NETWORKDAYS(C211,D211),0)</f>
        <v>2</v>
      </c>
      <c r="I211" t="str">
        <f>IF(H211&gt;G211,"YES","NO")</f>
        <v>NO</v>
      </c>
      <c r="J211" t="str">
        <f>TEXT(C211,"mmm-yyyy")</f>
        <v>Apr-2026</v>
      </c>
    </row>
    <row r="212" spans="1:10" x14ac:dyDescent="0.25">
      <c r="A212" t="s">
        <v>364</v>
      </c>
      <c r="B212" t="s">
        <v>1484</v>
      </c>
      <c r="C212" s="3">
        <v>46104</v>
      </c>
      <c r="D212" s="3">
        <v>46106</v>
      </c>
      <c r="E212" t="str">
        <f>IFERROR(VLOOKUP(B212,Assets_Master!A:E,5,FALSE),"Unknown")</f>
        <v>Cisco Systems</v>
      </c>
      <c r="F212" t="str">
        <f>IFERROR(VLOOKUP(B212,Assets_Master!A:J,10,FALSE),"Unknown")</f>
        <v>EMEA</v>
      </c>
      <c r="G212">
        <v>2</v>
      </c>
      <c r="H212">
        <f>IF(AND(C212&lt;&gt;"",D212&lt;&gt;""),NETWORKDAYS(C212,D212),0)</f>
        <v>3</v>
      </c>
      <c r="I212" t="str">
        <f>IF(H212&gt;G212,"YES","NO")</f>
        <v>YES</v>
      </c>
      <c r="J212" t="str">
        <f>TEXT(C212,"mmm-yyyy")</f>
        <v>Mar-2026</v>
      </c>
    </row>
    <row r="213" spans="1:10" x14ac:dyDescent="0.25">
      <c r="A213" t="s">
        <v>365</v>
      </c>
      <c r="B213" t="s">
        <v>879</v>
      </c>
      <c r="C213" s="3">
        <v>46111</v>
      </c>
      <c r="D213" s="3">
        <v>46113</v>
      </c>
      <c r="E213" t="str">
        <f>IFERROR(VLOOKUP(B213,Assets_Master!A:E,5,FALSE),"Unknown")</f>
        <v>Lenovo Pro</v>
      </c>
      <c r="F213" t="str">
        <f>IFERROR(VLOOKUP(B213,Assets_Master!A:J,10,FALSE),"Unknown")</f>
        <v>AMER</v>
      </c>
      <c r="G213">
        <v>2</v>
      </c>
      <c r="H213">
        <f>IF(AND(C213&lt;&gt;"",D213&lt;&gt;""),NETWORKDAYS(C213,D213),0)</f>
        <v>3</v>
      </c>
      <c r="I213" t="str">
        <f>IF(H213&gt;G213,"YES","NO")</f>
        <v>YES</v>
      </c>
      <c r="J213" t="str">
        <f>TEXT(C213,"mmm-yyyy")</f>
        <v>Mar-2026</v>
      </c>
    </row>
    <row r="214" spans="1:10" x14ac:dyDescent="0.25">
      <c r="A214" t="s">
        <v>366</v>
      </c>
      <c r="B214" t="s">
        <v>1956</v>
      </c>
      <c r="C214" s="3">
        <v>46110</v>
      </c>
      <c r="D214" s="3">
        <v>46111</v>
      </c>
      <c r="E214" t="str">
        <f>IFERROR(VLOOKUP(B214,Assets_Master!A:E,5,FALSE),"Unknown")</f>
        <v>Lenovo Pro</v>
      </c>
      <c r="F214" t="str">
        <f>IFERROR(VLOOKUP(B214,Assets_Master!A:J,10,FALSE),"Unknown")</f>
        <v>EMEA</v>
      </c>
      <c r="G214">
        <v>2</v>
      </c>
      <c r="H214">
        <f>IF(AND(C214&lt;&gt;"",D214&lt;&gt;""),NETWORKDAYS(C214,D214),0)</f>
        <v>1</v>
      </c>
      <c r="I214" t="str">
        <f>IF(H214&gt;G214,"YES","NO")</f>
        <v>NO</v>
      </c>
      <c r="J214" t="str">
        <f>TEXT(C214,"mmm-yyyy")</f>
        <v>Mar-2026</v>
      </c>
    </row>
    <row r="215" spans="1:10" x14ac:dyDescent="0.25">
      <c r="A215" t="s">
        <v>367</v>
      </c>
      <c r="B215" t="s">
        <v>583</v>
      </c>
      <c r="C215" s="3">
        <v>46105</v>
      </c>
      <c r="D215" s="3">
        <v>46106</v>
      </c>
      <c r="E215" t="str">
        <f>IFERROR(VLOOKUP(B215,Assets_Master!A:E,5,FALSE),"Unknown")</f>
        <v>Lenovo Pro</v>
      </c>
      <c r="F215" t="str">
        <f>IFERROR(VLOOKUP(B215,Assets_Master!A:J,10,FALSE),"Unknown")</f>
        <v>LATAM</v>
      </c>
      <c r="G215">
        <v>2</v>
      </c>
      <c r="H215">
        <f>IF(AND(C215&lt;&gt;"",D215&lt;&gt;""),NETWORKDAYS(C215,D215),0)</f>
        <v>2</v>
      </c>
      <c r="I215" t="str">
        <f>IF(H215&gt;G215,"YES","NO")</f>
        <v>NO</v>
      </c>
      <c r="J215" t="str">
        <f>TEXT(C215,"mmm-yyyy")</f>
        <v>Mar-2026</v>
      </c>
    </row>
    <row r="216" spans="1:10" x14ac:dyDescent="0.25">
      <c r="A216" t="s">
        <v>368</v>
      </c>
      <c r="B216" t="s">
        <v>966</v>
      </c>
      <c r="C216" s="3">
        <v>46101</v>
      </c>
      <c r="D216" s="3">
        <v>46102</v>
      </c>
      <c r="E216" t="str">
        <f>IFERROR(VLOOKUP(B216,Assets_Master!A:E,5,FALSE),"Unknown")</f>
        <v>Apple Enterprise</v>
      </c>
      <c r="F216" t="str">
        <f>IFERROR(VLOOKUP(B216,Assets_Master!A:J,10,FALSE),"Unknown")</f>
        <v>LATAM</v>
      </c>
      <c r="G216">
        <v>2</v>
      </c>
      <c r="H216">
        <f>IF(AND(C216&lt;&gt;"",D216&lt;&gt;""),NETWORKDAYS(C216,D216),0)</f>
        <v>1</v>
      </c>
      <c r="I216" t="str">
        <f>IF(H216&gt;G216,"YES","NO")</f>
        <v>NO</v>
      </c>
      <c r="J216" t="str">
        <f>TEXT(C216,"mmm-yyyy")</f>
        <v>Mar-2026</v>
      </c>
    </row>
    <row r="217" spans="1:10" x14ac:dyDescent="0.25">
      <c r="A217" t="s">
        <v>369</v>
      </c>
      <c r="B217" t="s">
        <v>1263</v>
      </c>
      <c r="C217" s="3">
        <v>46117</v>
      </c>
      <c r="D217" s="3">
        <v>46118</v>
      </c>
      <c r="E217" t="str">
        <f>IFERROR(VLOOKUP(B217,Assets_Master!A:E,5,FALSE),"Unknown")</f>
        <v>Samsung IT</v>
      </c>
      <c r="F217" t="str">
        <f>IFERROR(VLOOKUP(B217,Assets_Master!A:J,10,FALSE),"Unknown")</f>
        <v>AMER</v>
      </c>
      <c r="G217">
        <v>2</v>
      </c>
      <c r="H217">
        <f>IF(AND(C217&lt;&gt;"",D217&lt;&gt;""),NETWORKDAYS(C217,D217),0)</f>
        <v>1</v>
      </c>
      <c r="I217" t="str">
        <f>IF(H217&gt;G217,"YES","NO")</f>
        <v>NO</v>
      </c>
      <c r="J217" t="str">
        <f>TEXT(C217,"mmm-yyyy")</f>
        <v>Apr-2026</v>
      </c>
    </row>
    <row r="218" spans="1:10" x14ac:dyDescent="0.25">
      <c r="A218" t="s">
        <v>370</v>
      </c>
      <c r="B218" t="s">
        <v>1574</v>
      </c>
      <c r="C218" s="3">
        <v>46107</v>
      </c>
      <c r="D218" s="3">
        <v>46109</v>
      </c>
      <c r="E218" t="str">
        <f>IFERROR(VLOOKUP(B218,Assets_Master!A:E,5,FALSE),"Unknown")</f>
        <v>Samsung IT</v>
      </c>
      <c r="F218" t="str">
        <f>IFERROR(VLOOKUP(B218,Assets_Master!A:J,10,FALSE),"Unknown")</f>
        <v>LATAM</v>
      </c>
      <c r="G218">
        <v>2</v>
      </c>
      <c r="H218">
        <f>IF(AND(C218&lt;&gt;"",D218&lt;&gt;""),NETWORKDAYS(C218,D218),0)</f>
        <v>2</v>
      </c>
      <c r="I218" t="str">
        <f>IF(H218&gt;G218,"YES","NO")</f>
        <v>NO</v>
      </c>
      <c r="J218" t="str">
        <f>TEXT(C218,"mmm-yyyy")</f>
        <v>Mar-2026</v>
      </c>
    </row>
    <row r="219" spans="1:10" x14ac:dyDescent="0.25">
      <c r="A219" t="s">
        <v>371</v>
      </c>
      <c r="B219" t="s">
        <v>714</v>
      </c>
      <c r="C219" s="3">
        <v>46111</v>
      </c>
      <c r="D219" s="3">
        <v>46112</v>
      </c>
      <c r="E219" t="str">
        <f>IFERROR(VLOOKUP(B219,Assets_Master!A:E,5,FALSE),"Unknown")</f>
        <v>Apple Enterprise</v>
      </c>
      <c r="F219" t="str">
        <f>IFERROR(VLOOKUP(B219,Assets_Master!A:J,10,FALSE),"Unknown")</f>
        <v>AMER</v>
      </c>
      <c r="G219">
        <v>2</v>
      </c>
      <c r="H219">
        <f>IF(AND(C219&lt;&gt;"",D219&lt;&gt;""),NETWORKDAYS(C219,D219),0)</f>
        <v>2</v>
      </c>
      <c r="I219" t="str">
        <f>IF(H219&gt;G219,"YES","NO")</f>
        <v>NO</v>
      </c>
      <c r="J219" t="str">
        <f>TEXT(C219,"mmm-yyyy")</f>
        <v>Mar-2026</v>
      </c>
    </row>
    <row r="220" spans="1:10" x14ac:dyDescent="0.25">
      <c r="A220" t="s">
        <v>372</v>
      </c>
      <c r="B220" t="s">
        <v>870</v>
      </c>
      <c r="C220" s="3">
        <v>46094</v>
      </c>
      <c r="D220" s="3">
        <v>46096</v>
      </c>
      <c r="E220" t="str">
        <f>IFERROR(VLOOKUP(B220,Assets_Master!A:E,5,FALSE),"Unknown")</f>
        <v>Dell Global</v>
      </c>
      <c r="F220" t="str">
        <f>IFERROR(VLOOKUP(B220,Assets_Master!A:J,10,FALSE),"Unknown")</f>
        <v>EMEA</v>
      </c>
      <c r="G220">
        <v>2</v>
      </c>
      <c r="H220">
        <f>IF(AND(C220&lt;&gt;"",D220&lt;&gt;""),NETWORKDAYS(C220,D220),0)</f>
        <v>1</v>
      </c>
      <c r="I220" t="str">
        <f>IF(H220&gt;G220,"YES","NO")</f>
        <v>NO</v>
      </c>
      <c r="J220" t="str">
        <f>TEXT(C220,"mmm-yyyy")</f>
        <v>Mar-2026</v>
      </c>
    </row>
    <row r="221" spans="1:10" x14ac:dyDescent="0.25">
      <c r="A221" t="s">
        <v>373</v>
      </c>
      <c r="B221" t="s">
        <v>1811</v>
      </c>
      <c r="C221" s="3">
        <v>46098</v>
      </c>
      <c r="D221" s="3">
        <v>46100</v>
      </c>
      <c r="E221" t="str">
        <f>IFERROR(VLOOKUP(B221,Assets_Master!A:E,5,FALSE),"Unknown")</f>
        <v>HP Inc</v>
      </c>
      <c r="F221" t="str">
        <f>IFERROR(VLOOKUP(B221,Assets_Master!A:J,10,FALSE),"Unknown")</f>
        <v>AMER</v>
      </c>
      <c r="G221">
        <v>2</v>
      </c>
      <c r="H221">
        <f>IF(AND(C221&lt;&gt;"",D221&lt;&gt;""),NETWORKDAYS(C221,D221),0)</f>
        <v>3</v>
      </c>
      <c r="I221" t="str">
        <f>IF(H221&gt;G221,"YES","NO")</f>
        <v>YES</v>
      </c>
      <c r="J221" t="str">
        <f>TEXT(C221,"mmm-yyyy")</f>
        <v>Mar-2026</v>
      </c>
    </row>
    <row r="222" spans="1:10" x14ac:dyDescent="0.25">
      <c r="A222" t="s">
        <v>374</v>
      </c>
      <c r="B222" t="s">
        <v>1508</v>
      </c>
      <c r="C222" s="3">
        <v>46111</v>
      </c>
      <c r="D222" s="3">
        <v>46112</v>
      </c>
      <c r="E222" t="str">
        <f>IFERROR(VLOOKUP(B222,Assets_Master!A:E,5,FALSE),"Unknown")</f>
        <v>Dell Global</v>
      </c>
      <c r="F222" t="str">
        <f>IFERROR(VLOOKUP(B222,Assets_Master!A:J,10,FALSE),"Unknown")</f>
        <v>AMER</v>
      </c>
      <c r="G222">
        <v>2</v>
      </c>
      <c r="H222">
        <f>IF(AND(C222&lt;&gt;"",D222&lt;&gt;""),NETWORKDAYS(C222,D222),0)</f>
        <v>2</v>
      </c>
      <c r="I222" t="str">
        <f>IF(H222&gt;G222,"YES","NO")</f>
        <v>NO</v>
      </c>
      <c r="J222" t="str">
        <f>TEXT(C222,"mmm-yyyy")</f>
        <v>Mar-2026</v>
      </c>
    </row>
    <row r="223" spans="1:10" x14ac:dyDescent="0.25">
      <c r="A223" t="s">
        <v>375</v>
      </c>
      <c r="B223" t="s">
        <v>1796</v>
      </c>
      <c r="C223" s="3">
        <v>46121</v>
      </c>
      <c r="D223" s="3">
        <v>46122</v>
      </c>
      <c r="E223" t="str">
        <f>IFERROR(VLOOKUP(B223,Assets_Master!A:E,5,FALSE),"Unknown")</f>
        <v>HP Inc</v>
      </c>
      <c r="F223" t="str">
        <f>IFERROR(VLOOKUP(B223,Assets_Master!A:J,10,FALSE),"Unknown")</f>
        <v>EMEA</v>
      </c>
      <c r="G223">
        <v>2</v>
      </c>
      <c r="H223">
        <f>IF(AND(C223&lt;&gt;"",D223&lt;&gt;""),NETWORKDAYS(C223,D223),0)</f>
        <v>2</v>
      </c>
      <c r="I223" t="str">
        <f>IF(H223&gt;G223,"YES","NO")</f>
        <v>NO</v>
      </c>
      <c r="J223" t="str">
        <f>TEXT(C223,"mmm-yyyy")</f>
        <v>Apr-2026</v>
      </c>
    </row>
    <row r="224" spans="1:10" x14ac:dyDescent="0.25">
      <c r="A224" t="s">
        <v>376</v>
      </c>
      <c r="B224" t="s">
        <v>1392</v>
      </c>
      <c r="C224" s="3">
        <v>46098</v>
      </c>
      <c r="D224" s="3">
        <v>46100</v>
      </c>
      <c r="E224" t="str">
        <f>IFERROR(VLOOKUP(B224,Assets_Master!A:E,5,FALSE),"Unknown")</f>
        <v>Fujitsu</v>
      </c>
      <c r="F224" t="str">
        <f>IFERROR(VLOOKUP(B224,Assets_Master!A:J,10,FALSE),"Unknown")</f>
        <v>AMER</v>
      </c>
      <c r="G224">
        <v>2</v>
      </c>
      <c r="H224">
        <f>IF(AND(C224&lt;&gt;"",D224&lt;&gt;""),NETWORKDAYS(C224,D224),0)</f>
        <v>3</v>
      </c>
      <c r="I224" t="str">
        <f>IF(H224&gt;G224,"YES","NO")</f>
        <v>YES</v>
      </c>
      <c r="J224" t="str">
        <f>TEXT(C224,"mmm-yyyy")</f>
        <v>Mar-2026</v>
      </c>
    </row>
    <row r="225" spans="1:10" x14ac:dyDescent="0.25">
      <c r="A225" t="s">
        <v>377</v>
      </c>
      <c r="B225" t="s">
        <v>1077</v>
      </c>
      <c r="C225" s="3">
        <v>46118</v>
      </c>
      <c r="D225" s="3">
        <v>46119</v>
      </c>
      <c r="E225" t="str">
        <f>IFERROR(VLOOKUP(B225,Assets_Master!A:E,5,FALSE),"Unknown")</f>
        <v>Cisco Systems</v>
      </c>
      <c r="F225" t="str">
        <f>IFERROR(VLOOKUP(B225,Assets_Master!A:J,10,FALSE),"Unknown")</f>
        <v>AMER</v>
      </c>
      <c r="G225">
        <v>2</v>
      </c>
      <c r="H225">
        <f>IF(AND(C225&lt;&gt;"",D225&lt;&gt;""),NETWORKDAYS(C225,D225),0)</f>
        <v>2</v>
      </c>
      <c r="I225" t="str">
        <f>IF(H225&gt;G225,"YES","NO")</f>
        <v>NO</v>
      </c>
      <c r="J225" t="str">
        <f>TEXT(C225,"mmm-yyyy")</f>
        <v>Apr-2026</v>
      </c>
    </row>
    <row r="226" spans="1:10" x14ac:dyDescent="0.25">
      <c r="A226" t="s">
        <v>378</v>
      </c>
      <c r="B226" t="s">
        <v>2037</v>
      </c>
      <c r="C226" s="3">
        <v>46098</v>
      </c>
      <c r="D226" s="3">
        <v>46100</v>
      </c>
      <c r="E226" t="str">
        <f>IFERROR(VLOOKUP(B226,Assets_Master!A:E,5,FALSE),"Unknown")</f>
        <v>Lenovo Pro</v>
      </c>
      <c r="F226" t="str">
        <f>IFERROR(VLOOKUP(B226,Assets_Master!A:J,10,FALSE),"Unknown")</f>
        <v>EMEA</v>
      </c>
      <c r="G226">
        <v>2</v>
      </c>
      <c r="H226">
        <f>IF(AND(C226&lt;&gt;"",D226&lt;&gt;""),NETWORKDAYS(C226,D226),0)</f>
        <v>3</v>
      </c>
      <c r="I226" t="str">
        <f>IF(H226&gt;G226,"YES","NO")</f>
        <v>YES</v>
      </c>
      <c r="J226" t="str">
        <f>TEXT(C226,"mmm-yyyy")</f>
        <v>Mar-2026</v>
      </c>
    </row>
    <row r="227" spans="1:10" x14ac:dyDescent="0.25">
      <c r="A227" t="s">
        <v>379</v>
      </c>
      <c r="B227" t="s">
        <v>1885</v>
      </c>
      <c r="C227" s="3">
        <v>46093</v>
      </c>
      <c r="D227" s="3">
        <v>46095</v>
      </c>
      <c r="E227" t="str">
        <f>IFERROR(VLOOKUP(B227,Assets_Master!A:E,5,FALSE),"Unknown")</f>
        <v>HP Inc</v>
      </c>
      <c r="F227" t="str">
        <f>IFERROR(VLOOKUP(B227,Assets_Master!A:J,10,FALSE),"Unknown")</f>
        <v>APAC</v>
      </c>
      <c r="G227">
        <v>2</v>
      </c>
      <c r="H227">
        <f>IF(AND(C227&lt;&gt;"",D227&lt;&gt;""),NETWORKDAYS(C227,D227),0)</f>
        <v>2</v>
      </c>
      <c r="I227" t="str">
        <f>IF(H227&gt;G227,"YES","NO")</f>
        <v>NO</v>
      </c>
      <c r="J227" t="str">
        <f>TEXT(C227,"mmm-yyyy")</f>
        <v>Mar-2026</v>
      </c>
    </row>
    <row r="228" spans="1:10" x14ac:dyDescent="0.25">
      <c r="A228" t="s">
        <v>380</v>
      </c>
      <c r="B228" t="s">
        <v>1077</v>
      </c>
      <c r="C228" s="3">
        <v>46108</v>
      </c>
      <c r="D228" s="3">
        <v>46109</v>
      </c>
      <c r="E228" t="str">
        <f>IFERROR(VLOOKUP(B228,Assets_Master!A:E,5,FALSE),"Unknown")</f>
        <v>Cisco Systems</v>
      </c>
      <c r="F228" t="str">
        <f>IFERROR(VLOOKUP(B228,Assets_Master!A:J,10,FALSE),"Unknown")</f>
        <v>AMER</v>
      </c>
      <c r="G228">
        <v>2</v>
      </c>
      <c r="H228">
        <f>IF(AND(C228&lt;&gt;"",D228&lt;&gt;""),NETWORKDAYS(C228,D228),0)</f>
        <v>1</v>
      </c>
      <c r="I228" t="str">
        <f>IF(H228&gt;G228,"YES","NO")</f>
        <v>NO</v>
      </c>
      <c r="J228" t="str">
        <f>TEXT(C228,"mmm-yyyy")</f>
        <v>Mar-2026</v>
      </c>
    </row>
    <row r="229" spans="1:10" x14ac:dyDescent="0.25">
      <c r="A229" t="s">
        <v>381</v>
      </c>
      <c r="B229" t="s">
        <v>1769</v>
      </c>
      <c r="C229" s="3">
        <v>46094</v>
      </c>
      <c r="D229" s="3">
        <v>46096</v>
      </c>
      <c r="E229" t="str">
        <f>IFERROR(VLOOKUP(B229,Assets_Master!A:E,5,FALSE),"Unknown")</f>
        <v>HP Inc</v>
      </c>
      <c r="F229" t="str">
        <f>IFERROR(VLOOKUP(B229,Assets_Master!A:J,10,FALSE),"Unknown")</f>
        <v>LATAM</v>
      </c>
      <c r="G229">
        <v>2</v>
      </c>
      <c r="H229">
        <f>IF(AND(C229&lt;&gt;"",D229&lt;&gt;""),NETWORKDAYS(C229,D229),0)</f>
        <v>1</v>
      </c>
      <c r="I229" t="str">
        <f>IF(H229&gt;G229,"YES","NO")</f>
        <v>NO</v>
      </c>
      <c r="J229" t="str">
        <f>TEXT(C229,"mmm-yyyy")</f>
        <v>Mar-2026</v>
      </c>
    </row>
    <row r="230" spans="1:10" x14ac:dyDescent="0.25">
      <c r="A230" t="s">
        <v>382</v>
      </c>
      <c r="B230" t="s">
        <v>714</v>
      </c>
      <c r="C230" s="3">
        <v>46107</v>
      </c>
      <c r="D230" s="3">
        <v>46109</v>
      </c>
      <c r="E230" t="str">
        <f>IFERROR(VLOOKUP(B230,Assets_Master!A:E,5,FALSE),"Unknown")</f>
        <v>Apple Enterprise</v>
      </c>
      <c r="F230" t="str">
        <f>IFERROR(VLOOKUP(B230,Assets_Master!A:J,10,FALSE),"Unknown")</f>
        <v>AMER</v>
      </c>
      <c r="G230">
        <v>2</v>
      </c>
      <c r="H230">
        <f>IF(AND(C230&lt;&gt;"",D230&lt;&gt;""),NETWORKDAYS(C230,D230),0)</f>
        <v>2</v>
      </c>
      <c r="I230" t="str">
        <f>IF(H230&gt;G230,"YES","NO")</f>
        <v>NO</v>
      </c>
      <c r="J230" t="str">
        <f>TEXT(C230,"mmm-yyyy")</f>
        <v>Mar-2026</v>
      </c>
    </row>
    <row r="231" spans="1:10" x14ac:dyDescent="0.25">
      <c r="A231" t="s">
        <v>383</v>
      </c>
      <c r="B231" t="s">
        <v>1822</v>
      </c>
      <c r="C231" s="3">
        <v>46106</v>
      </c>
      <c r="D231" s="3">
        <v>46108</v>
      </c>
      <c r="E231" t="str">
        <f>IFERROR(VLOOKUP(B231,Assets_Master!A:E,5,FALSE),"Unknown")</f>
        <v>Samsung IT</v>
      </c>
      <c r="F231" t="str">
        <f>IFERROR(VLOOKUP(B231,Assets_Master!A:J,10,FALSE),"Unknown")</f>
        <v>EMEA</v>
      </c>
      <c r="G231">
        <v>2</v>
      </c>
      <c r="H231">
        <f>IF(AND(C231&lt;&gt;"",D231&lt;&gt;""),NETWORKDAYS(C231,D231),0)</f>
        <v>3</v>
      </c>
      <c r="I231" t="str">
        <f>IF(H231&gt;G231,"YES","NO")</f>
        <v>YES</v>
      </c>
      <c r="J231" t="str">
        <f>TEXT(C231,"mmm-yyyy")</f>
        <v>Mar-2026</v>
      </c>
    </row>
    <row r="232" spans="1:10" x14ac:dyDescent="0.25">
      <c r="A232" t="s">
        <v>384</v>
      </c>
      <c r="B232" t="s">
        <v>921</v>
      </c>
      <c r="C232" s="3">
        <v>46103</v>
      </c>
      <c r="D232" s="3">
        <v>46104</v>
      </c>
      <c r="E232" t="str">
        <f>IFERROR(VLOOKUP(B232,Assets_Master!A:E,5,FALSE),"Unknown")</f>
        <v>Cisco Systems</v>
      </c>
      <c r="F232" t="str">
        <f>IFERROR(VLOOKUP(B232,Assets_Master!A:J,10,FALSE),"Unknown")</f>
        <v>APAC</v>
      </c>
      <c r="G232">
        <v>2</v>
      </c>
      <c r="H232">
        <f>IF(AND(C232&lt;&gt;"",D232&lt;&gt;""),NETWORKDAYS(C232,D232),0)</f>
        <v>1</v>
      </c>
      <c r="I232" t="str">
        <f>IF(H232&gt;G232,"YES","NO")</f>
        <v>NO</v>
      </c>
      <c r="J232" t="str">
        <f>TEXT(C232,"mmm-yyyy")</f>
        <v>Mar-2026</v>
      </c>
    </row>
    <row r="233" spans="1:10" x14ac:dyDescent="0.25">
      <c r="A233" t="s">
        <v>385</v>
      </c>
      <c r="B233" t="s">
        <v>1736</v>
      </c>
      <c r="C233" s="3">
        <v>46104</v>
      </c>
      <c r="D233" s="3">
        <v>46106</v>
      </c>
      <c r="E233" t="str">
        <f>IFERROR(VLOOKUP(B233,Assets_Master!A:E,5,FALSE),"Unknown")</f>
        <v>Fujitsu</v>
      </c>
      <c r="F233" t="str">
        <f>IFERROR(VLOOKUP(B233,Assets_Master!A:J,10,FALSE),"Unknown")</f>
        <v>AMER</v>
      </c>
      <c r="G233">
        <v>2</v>
      </c>
      <c r="H233">
        <f>IF(AND(C233&lt;&gt;"",D233&lt;&gt;""),NETWORKDAYS(C233,D233),0)</f>
        <v>3</v>
      </c>
      <c r="I233" t="str">
        <f>IF(H233&gt;G233,"YES","NO")</f>
        <v>YES</v>
      </c>
      <c r="J233" t="str">
        <f>TEXT(C233,"mmm-yyyy")</f>
        <v>Mar-2026</v>
      </c>
    </row>
    <row r="234" spans="1:10" x14ac:dyDescent="0.25">
      <c r="A234" t="s">
        <v>386</v>
      </c>
      <c r="B234" t="s">
        <v>1490</v>
      </c>
      <c r="C234" s="3">
        <v>46111</v>
      </c>
      <c r="D234" s="3">
        <v>46112</v>
      </c>
      <c r="E234" t="str">
        <f>IFERROR(VLOOKUP(B234,Assets_Master!A:E,5,FALSE),"Unknown")</f>
        <v>Fujitsu</v>
      </c>
      <c r="F234" t="str">
        <f>IFERROR(VLOOKUP(B234,Assets_Master!A:J,10,FALSE),"Unknown")</f>
        <v>APAC</v>
      </c>
      <c r="G234">
        <v>2</v>
      </c>
      <c r="H234">
        <f>IF(AND(C234&lt;&gt;"",D234&lt;&gt;""),NETWORKDAYS(C234,D234),0)</f>
        <v>2</v>
      </c>
      <c r="I234" t="str">
        <f>IF(H234&gt;G234,"YES","NO")</f>
        <v>NO</v>
      </c>
      <c r="J234" t="str">
        <f>TEXT(C234,"mmm-yyyy")</f>
        <v>Mar-2026</v>
      </c>
    </row>
    <row r="235" spans="1:10" x14ac:dyDescent="0.25">
      <c r="A235" t="s">
        <v>387</v>
      </c>
      <c r="B235" t="s">
        <v>910</v>
      </c>
      <c r="C235" s="3">
        <v>46109</v>
      </c>
      <c r="D235" s="3">
        <v>46111</v>
      </c>
      <c r="E235" t="str">
        <f>IFERROR(VLOOKUP(B235,Assets_Master!A:E,5,FALSE),"Unknown")</f>
        <v>Apple Enterprise</v>
      </c>
      <c r="F235" t="str">
        <f>IFERROR(VLOOKUP(B235,Assets_Master!A:J,10,FALSE),"Unknown")</f>
        <v>APAC</v>
      </c>
      <c r="G235">
        <v>2</v>
      </c>
      <c r="H235">
        <f>IF(AND(C235&lt;&gt;"",D235&lt;&gt;""),NETWORKDAYS(C235,D235),0)</f>
        <v>1</v>
      </c>
      <c r="I235" t="str">
        <f>IF(H235&gt;G235,"YES","NO")</f>
        <v>NO</v>
      </c>
      <c r="J235" t="str">
        <f>TEXT(C235,"mmm-yyyy")</f>
        <v>Mar-2026</v>
      </c>
    </row>
    <row r="236" spans="1:10" x14ac:dyDescent="0.25">
      <c r="A236" t="s">
        <v>388</v>
      </c>
      <c r="B236" t="s">
        <v>1992</v>
      </c>
      <c r="C236" s="3">
        <v>46093</v>
      </c>
      <c r="D236" s="3">
        <v>46095</v>
      </c>
      <c r="E236" t="str">
        <f>IFERROR(VLOOKUP(B236,Assets_Master!A:E,5,FALSE),"Unknown")</f>
        <v>Cisco Systems</v>
      </c>
      <c r="F236" t="str">
        <f>IFERROR(VLOOKUP(B236,Assets_Master!A:J,10,FALSE),"Unknown")</f>
        <v>APAC</v>
      </c>
      <c r="G236">
        <v>2</v>
      </c>
      <c r="H236">
        <f>IF(AND(C236&lt;&gt;"",D236&lt;&gt;""),NETWORKDAYS(C236,D236),0)</f>
        <v>2</v>
      </c>
      <c r="I236" t="str">
        <f>IF(H236&gt;G236,"YES","NO")</f>
        <v>NO</v>
      </c>
      <c r="J236" t="str">
        <f>TEXT(C236,"mmm-yyyy")</f>
        <v>Mar-2026</v>
      </c>
    </row>
    <row r="237" spans="1:10" x14ac:dyDescent="0.25">
      <c r="A237" t="s">
        <v>389</v>
      </c>
      <c r="B237" t="s">
        <v>1754</v>
      </c>
      <c r="C237" s="3">
        <v>46119</v>
      </c>
      <c r="D237" s="3">
        <v>46120</v>
      </c>
      <c r="E237" t="str">
        <f>IFERROR(VLOOKUP(B237,Assets_Master!A:E,5,FALSE),"Unknown")</f>
        <v>Fujitsu</v>
      </c>
      <c r="F237" t="str">
        <f>IFERROR(VLOOKUP(B237,Assets_Master!A:J,10,FALSE),"Unknown")</f>
        <v>EMEA</v>
      </c>
      <c r="G237">
        <v>2</v>
      </c>
      <c r="H237">
        <f>IF(AND(C237&lt;&gt;"",D237&lt;&gt;""),NETWORKDAYS(C237,D237),0)</f>
        <v>2</v>
      </c>
      <c r="I237" t="str">
        <f>IF(H237&gt;G237,"YES","NO")</f>
        <v>NO</v>
      </c>
      <c r="J237" t="str">
        <f>TEXT(C237,"mmm-yyyy")</f>
        <v>Apr-2026</v>
      </c>
    </row>
    <row r="238" spans="1:10" x14ac:dyDescent="0.25">
      <c r="A238" t="s">
        <v>390</v>
      </c>
      <c r="B238" t="s">
        <v>726</v>
      </c>
      <c r="C238" s="3">
        <v>46099</v>
      </c>
      <c r="D238" s="3">
        <v>46101</v>
      </c>
      <c r="E238" t="str">
        <f>IFERROR(VLOOKUP(B238,Assets_Master!A:E,5,FALSE),"Unknown")</f>
        <v>Dell Global</v>
      </c>
      <c r="F238" t="str">
        <f>IFERROR(VLOOKUP(B238,Assets_Master!A:J,10,FALSE),"Unknown")</f>
        <v>LATAM</v>
      </c>
      <c r="G238">
        <v>2</v>
      </c>
      <c r="H238">
        <f>IF(AND(C238&lt;&gt;"",D238&lt;&gt;""),NETWORKDAYS(C238,D238),0)</f>
        <v>3</v>
      </c>
      <c r="I238" t="str">
        <f>IF(H238&gt;G238,"YES","NO")</f>
        <v>YES</v>
      </c>
      <c r="J238" t="str">
        <f>TEXT(C238,"mmm-yyyy")</f>
        <v>Mar-2026</v>
      </c>
    </row>
    <row r="239" spans="1:10" x14ac:dyDescent="0.25">
      <c r="A239" t="s">
        <v>391</v>
      </c>
      <c r="B239" t="s">
        <v>757</v>
      </c>
      <c r="C239" s="3">
        <v>46112</v>
      </c>
      <c r="D239" s="3">
        <v>46113</v>
      </c>
      <c r="E239" t="str">
        <f>IFERROR(VLOOKUP(B239,Assets_Master!A:E,5,FALSE),"Unknown")</f>
        <v>Apple Enterprise</v>
      </c>
      <c r="F239" t="str">
        <f>IFERROR(VLOOKUP(B239,Assets_Master!A:J,10,FALSE),"Unknown")</f>
        <v>AMER</v>
      </c>
      <c r="G239">
        <v>2</v>
      </c>
      <c r="H239">
        <f>IF(AND(C239&lt;&gt;"",D239&lt;&gt;""),NETWORKDAYS(C239,D239),0)</f>
        <v>2</v>
      </c>
      <c r="I239" t="str">
        <f>IF(H239&gt;G239,"YES","NO")</f>
        <v>NO</v>
      </c>
      <c r="J239" t="str">
        <f>TEXT(C239,"mmm-yyyy")</f>
        <v>Mar-2026</v>
      </c>
    </row>
    <row r="240" spans="1:10" x14ac:dyDescent="0.25">
      <c r="A240" t="s">
        <v>392</v>
      </c>
      <c r="B240" t="s">
        <v>1923</v>
      </c>
      <c r="C240" s="3">
        <v>46106</v>
      </c>
      <c r="D240" s="3">
        <v>46108</v>
      </c>
      <c r="E240" t="str">
        <f>IFERROR(VLOOKUP(B240,Assets_Master!A:E,5,FALSE),"Unknown")</f>
        <v>Samsung IT</v>
      </c>
      <c r="F240" t="str">
        <f>IFERROR(VLOOKUP(B240,Assets_Master!A:J,10,FALSE),"Unknown")</f>
        <v>AMER</v>
      </c>
      <c r="G240">
        <v>2</v>
      </c>
      <c r="H240">
        <f>IF(AND(C240&lt;&gt;"",D240&lt;&gt;""),NETWORKDAYS(C240,D240),0)</f>
        <v>3</v>
      </c>
      <c r="I240" t="str">
        <f>IF(H240&gt;G240,"YES","NO")</f>
        <v>YES</v>
      </c>
      <c r="J240" t="str">
        <f>TEXT(C240,"mmm-yyyy")</f>
        <v>Mar-2026</v>
      </c>
    </row>
    <row r="241" spans="1:10" x14ac:dyDescent="0.25">
      <c r="A241" t="s">
        <v>393</v>
      </c>
      <c r="B241" t="s">
        <v>1290</v>
      </c>
      <c r="C241" s="3">
        <v>46113</v>
      </c>
      <c r="D241" s="3">
        <v>46115</v>
      </c>
      <c r="E241" t="str">
        <f>IFERROR(VLOOKUP(B241,Assets_Master!A:E,5,FALSE),"Unknown")</f>
        <v>Dell Global</v>
      </c>
      <c r="F241" t="str">
        <f>IFERROR(VLOOKUP(B241,Assets_Master!A:J,10,FALSE),"Unknown")</f>
        <v>AMER</v>
      </c>
      <c r="G241">
        <v>2</v>
      </c>
      <c r="H241">
        <f>IF(AND(C241&lt;&gt;"",D241&lt;&gt;""),NETWORKDAYS(C241,D241),0)</f>
        <v>3</v>
      </c>
      <c r="I241" t="str">
        <f>IF(H241&gt;G241,"YES","NO")</f>
        <v>YES</v>
      </c>
      <c r="J241" t="str">
        <f>TEXT(C241,"mmm-yyyy")</f>
        <v>Apr-2026</v>
      </c>
    </row>
    <row r="242" spans="1:10" x14ac:dyDescent="0.25">
      <c r="A242" t="s">
        <v>394</v>
      </c>
      <c r="B242" t="s">
        <v>1128</v>
      </c>
      <c r="C242" s="3">
        <v>46115</v>
      </c>
      <c r="D242" s="3">
        <v>46116</v>
      </c>
      <c r="E242" t="str">
        <f>IFERROR(VLOOKUP(B242,Assets_Master!A:E,5,FALSE),"Unknown")</f>
        <v>Samsung IT</v>
      </c>
      <c r="F242" t="str">
        <f>IFERROR(VLOOKUP(B242,Assets_Master!A:J,10,FALSE),"Unknown")</f>
        <v>EMEA</v>
      </c>
      <c r="G242">
        <v>2</v>
      </c>
      <c r="H242">
        <f>IF(AND(C242&lt;&gt;"",D242&lt;&gt;""),NETWORKDAYS(C242,D242),0)</f>
        <v>1</v>
      </c>
      <c r="I242" t="str">
        <f>IF(H242&gt;G242,"YES","NO")</f>
        <v>NO</v>
      </c>
      <c r="J242" t="str">
        <f>TEXT(C242,"mmm-yyyy")</f>
        <v>Apr-2026</v>
      </c>
    </row>
    <row r="243" spans="1:10" x14ac:dyDescent="0.25">
      <c r="A243" t="s">
        <v>395</v>
      </c>
      <c r="B243" t="s">
        <v>1263</v>
      </c>
      <c r="C243" s="3">
        <v>46101</v>
      </c>
      <c r="D243" s="3">
        <v>46102</v>
      </c>
      <c r="E243" t="str">
        <f>IFERROR(VLOOKUP(B243,Assets_Master!A:E,5,FALSE),"Unknown")</f>
        <v>Samsung IT</v>
      </c>
      <c r="F243" t="str">
        <f>IFERROR(VLOOKUP(B243,Assets_Master!A:J,10,FALSE),"Unknown")</f>
        <v>AMER</v>
      </c>
      <c r="G243">
        <v>2</v>
      </c>
      <c r="H243">
        <f>IF(AND(C243&lt;&gt;"",D243&lt;&gt;""),NETWORKDAYS(C243,D243),0)</f>
        <v>1</v>
      </c>
      <c r="I243" t="str">
        <f>IF(H243&gt;G243,"YES","NO")</f>
        <v>NO</v>
      </c>
      <c r="J243" t="str">
        <f>TEXT(C243,"mmm-yyyy")</f>
        <v>Mar-2026</v>
      </c>
    </row>
    <row r="244" spans="1:10" x14ac:dyDescent="0.25">
      <c r="A244" t="s">
        <v>396</v>
      </c>
      <c r="B244" t="s">
        <v>1445</v>
      </c>
      <c r="C244" s="3">
        <v>46103</v>
      </c>
      <c r="D244" s="3">
        <v>46105</v>
      </c>
      <c r="E244" t="str">
        <f>IFERROR(VLOOKUP(B244,Assets_Master!A:E,5,FALSE),"Unknown")</f>
        <v>Fujitsu</v>
      </c>
      <c r="F244" t="str">
        <f>IFERROR(VLOOKUP(B244,Assets_Master!A:J,10,FALSE),"Unknown")</f>
        <v>AMER</v>
      </c>
      <c r="G244">
        <v>2</v>
      </c>
      <c r="H244">
        <f>IF(AND(C244&lt;&gt;"",D244&lt;&gt;""),NETWORKDAYS(C244,D244),0)</f>
        <v>2</v>
      </c>
      <c r="I244" t="str">
        <f>IF(H244&gt;G244,"YES","NO")</f>
        <v>NO</v>
      </c>
      <c r="J244" t="str">
        <f>TEXT(C244,"mmm-yyyy")</f>
        <v>Mar-2026</v>
      </c>
    </row>
    <row r="245" spans="1:10" x14ac:dyDescent="0.25">
      <c r="A245" t="s">
        <v>397</v>
      </c>
      <c r="B245" t="s">
        <v>1493</v>
      </c>
      <c r="C245" s="3">
        <v>46112</v>
      </c>
      <c r="D245" s="3">
        <v>46114</v>
      </c>
      <c r="E245" t="str">
        <f>IFERROR(VLOOKUP(B245,Assets_Master!A:E,5,FALSE),"Unknown")</f>
        <v>Fujitsu</v>
      </c>
      <c r="F245" t="str">
        <f>IFERROR(VLOOKUP(B245,Assets_Master!A:J,10,FALSE),"Unknown")</f>
        <v>APAC</v>
      </c>
      <c r="G245">
        <v>2</v>
      </c>
      <c r="H245">
        <f>IF(AND(C245&lt;&gt;"",D245&lt;&gt;""),NETWORKDAYS(C245,D245),0)</f>
        <v>3</v>
      </c>
      <c r="I245" t="str">
        <f>IF(H245&gt;G245,"YES","NO")</f>
        <v>YES</v>
      </c>
      <c r="J245" t="str">
        <f>TEXT(C245,"mmm-yyyy")</f>
        <v>Mar-2026</v>
      </c>
    </row>
    <row r="246" spans="1:10" x14ac:dyDescent="0.25">
      <c r="A246" t="s">
        <v>398</v>
      </c>
      <c r="B246" t="s">
        <v>1190</v>
      </c>
      <c r="C246" s="3">
        <v>46108</v>
      </c>
      <c r="D246" s="3">
        <v>46109</v>
      </c>
      <c r="E246" t="str">
        <f>IFERROR(VLOOKUP(B246,Assets_Master!A:E,5,FALSE),"Unknown")</f>
        <v>Cisco Systems</v>
      </c>
      <c r="F246" t="str">
        <f>IFERROR(VLOOKUP(B246,Assets_Master!A:J,10,FALSE),"Unknown")</f>
        <v>AMER</v>
      </c>
      <c r="G246">
        <v>2</v>
      </c>
      <c r="H246">
        <f>IF(AND(C246&lt;&gt;"",D246&lt;&gt;""),NETWORKDAYS(C246,D246),0)</f>
        <v>1</v>
      </c>
      <c r="I246" t="str">
        <f>IF(H246&gt;G246,"YES","NO")</f>
        <v>NO</v>
      </c>
      <c r="J246" t="str">
        <f>TEXT(C246,"mmm-yyyy")</f>
        <v>Mar-2026</v>
      </c>
    </row>
    <row r="247" spans="1:10" x14ac:dyDescent="0.25">
      <c r="A247" t="s">
        <v>399</v>
      </c>
      <c r="B247" t="s">
        <v>939</v>
      </c>
      <c r="C247" s="3">
        <v>46095</v>
      </c>
      <c r="D247" s="3">
        <v>46096</v>
      </c>
      <c r="E247" t="str">
        <f>IFERROR(VLOOKUP(B247,Assets_Master!A:E,5,FALSE),"Unknown")</f>
        <v>Apple Enterprise</v>
      </c>
      <c r="F247" t="str">
        <f>IFERROR(VLOOKUP(B247,Assets_Master!A:J,10,FALSE),"Unknown")</f>
        <v>AMER</v>
      </c>
      <c r="G247">
        <v>2</v>
      </c>
      <c r="H247">
        <f>IF(AND(C247&lt;&gt;"",D247&lt;&gt;""),NETWORKDAYS(C247,D247),0)</f>
        <v>0</v>
      </c>
      <c r="I247" t="str">
        <f>IF(H247&gt;G247,"YES","NO")</f>
        <v>NO</v>
      </c>
      <c r="J247" t="str">
        <f>TEXT(C247,"mmm-yyyy")</f>
        <v>Mar-2026</v>
      </c>
    </row>
    <row r="248" spans="1:10" x14ac:dyDescent="0.25">
      <c r="A248" t="s">
        <v>400</v>
      </c>
      <c r="B248" t="s">
        <v>1646</v>
      </c>
      <c r="C248" s="3">
        <v>46094</v>
      </c>
      <c r="D248" s="3">
        <v>46096</v>
      </c>
      <c r="E248" t="str">
        <f>IFERROR(VLOOKUP(B248,Assets_Master!A:E,5,FALSE),"Unknown")</f>
        <v>Cisco Systems</v>
      </c>
      <c r="F248" t="str">
        <f>IFERROR(VLOOKUP(B248,Assets_Master!A:J,10,FALSE),"Unknown")</f>
        <v>EMEA</v>
      </c>
      <c r="G248">
        <v>2</v>
      </c>
      <c r="H248">
        <f>IF(AND(C248&lt;&gt;"",D248&lt;&gt;""),NETWORKDAYS(C248,D248),0)</f>
        <v>1</v>
      </c>
      <c r="I248" t="str">
        <f>IF(H248&gt;G248,"YES","NO")</f>
        <v>NO</v>
      </c>
      <c r="J248" t="str">
        <f>TEXT(C248,"mmm-yyyy")</f>
        <v>Mar-2026</v>
      </c>
    </row>
    <row r="249" spans="1:10" x14ac:dyDescent="0.25">
      <c r="A249" t="s">
        <v>401</v>
      </c>
      <c r="B249" t="s">
        <v>1670</v>
      </c>
      <c r="C249" s="3">
        <v>46107</v>
      </c>
      <c r="D249" s="3">
        <v>46109</v>
      </c>
      <c r="E249" t="str">
        <f>IFERROR(VLOOKUP(B249,Assets_Master!A:E,5,FALSE),"Unknown")</f>
        <v>Cisco Systems</v>
      </c>
      <c r="F249" t="str">
        <f>IFERROR(VLOOKUP(B249,Assets_Master!A:J,10,FALSE),"Unknown")</f>
        <v>LATAM</v>
      </c>
      <c r="G249">
        <v>2</v>
      </c>
      <c r="H249">
        <f>IF(AND(C249&lt;&gt;"",D249&lt;&gt;""),NETWORKDAYS(C249,D249),0)</f>
        <v>2</v>
      </c>
      <c r="I249" t="str">
        <f>IF(H249&gt;G249,"YES","NO")</f>
        <v>NO</v>
      </c>
      <c r="J249" t="str">
        <f>TEXT(C249,"mmm-yyyy")</f>
        <v>Mar-2026</v>
      </c>
    </row>
    <row r="250" spans="1:10" x14ac:dyDescent="0.25">
      <c r="A250" t="s">
        <v>402</v>
      </c>
      <c r="B250" t="s">
        <v>1596</v>
      </c>
      <c r="C250" s="3">
        <v>46110</v>
      </c>
      <c r="D250" s="3">
        <v>46111</v>
      </c>
      <c r="E250" t="str">
        <f>IFERROR(VLOOKUP(B250,Assets_Master!A:E,5,FALSE),"Unknown")</f>
        <v>Dell Global</v>
      </c>
      <c r="F250" t="str">
        <f>IFERROR(VLOOKUP(B250,Assets_Master!A:J,10,FALSE),"Unknown")</f>
        <v>EMEA</v>
      </c>
      <c r="G250">
        <v>2</v>
      </c>
      <c r="H250">
        <f>IF(AND(C250&lt;&gt;"",D250&lt;&gt;""),NETWORKDAYS(C250,D250),0)</f>
        <v>1</v>
      </c>
      <c r="I250" t="str">
        <f>IF(H250&gt;G250,"YES","NO")</f>
        <v>NO</v>
      </c>
      <c r="J250" t="str">
        <f>TEXT(C250,"mmm-yyyy")</f>
        <v>Mar-2026</v>
      </c>
    </row>
    <row r="251" spans="1:10" x14ac:dyDescent="0.25">
      <c r="A251" t="s">
        <v>403</v>
      </c>
      <c r="B251" t="s">
        <v>1868</v>
      </c>
      <c r="C251" s="3">
        <v>46104</v>
      </c>
      <c r="D251" s="3">
        <v>46106</v>
      </c>
      <c r="E251" t="str">
        <f>IFERROR(VLOOKUP(B251,Assets_Master!A:E,5,FALSE),"Unknown")</f>
        <v>Dell Global</v>
      </c>
      <c r="F251" t="str">
        <f>IFERROR(VLOOKUP(B251,Assets_Master!A:J,10,FALSE),"Unknown")</f>
        <v>EMEA</v>
      </c>
      <c r="G251">
        <v>2</v>
      </c>
      <c r="H251">
        <f>IF(AND(C251&lt;&gt;"",D251&lt;&gt;""),NETWORKDAYS(C251,D251),0)</f>
        <v>3</v>
      </c>
      <c r="I251" t="str">
        <f>IF(H251&gt;G251,"YES","NO")</f>
        <v>YES</v>
      </c>
      <c r="J251" t="str">
        <f>TEXT(C251,"mmm-yyyy")</f>
        <v>Mar-2026</v>
      </c>
    </row>
    <row r="252" spans="1:10" x14ac:dyDescent="0.25">
      <c r="A252" t="s">
        <v>404</v>
      </c>
      <c r="B252" t="s">
        <v>1455</v>
      </c>
      <c r="C252" s="3">
        <v>46103</v>
      </c>
      <c r="D252" s="3">
        <v>46104</v>
      </c>
      <c r="E252" t="str">
        <f>IFERROR(VLOOKUP(B252,Assets_Master!A:E,5,FALSE),"Unknown")</f>
        <v>Cisco Systems</v>
      </c>
      <c r="F252" t="str">
        <f>IFERROR(VLOOKUP(B252,Assets_Master!A:J,10,FALSE),"Unknown")</f>
        <v>AMER</v>
      </c>
      <c r="G252">
        <v>2</v>
      </c>
      <c r="H252">
        <f>IF(AND(C252&lt;&gt;"",D252&lt;&gt;""),NETWORKDAYS(C252,D252),0)</f>
        <v>1</v>
      </c>
      <c r="I252" t="str">
        <f>IF(H252&gt;G252,"YES","NO")</f>
        <v>NO</v>
      </c>
      <c r="J252" t="str">
        <f>TEXT(C252,"mmm-yyyy")</f>
        <v>Mar-2026</v>
      </c>
    </row>
    <row r="253" spans="1:10" x14ac:dyDescent="0.25">
      <c r="A253" t="s">
        <v>405</v>
      </c>
      <c r="B253" t="s">
        <v>1527</v>
      </c>
      <c r="C253" s="3">
        <v>46121</v>
      </c>
      <c r="D253" s="3">
        <v>46122</v>
      </c>
      <c r="E253" t="str">
        <f>IFERROR(VLOOKUP(B253,Assets_Master!A:E,5,FALSE),"Unknown")</f>
        <v>Apple Enterprise</v>
      </c>
      <c r="F253" t="str">
        <f>IFERROR(VLOOKUP(B253,Assets_Master!A:J,10,FALSE),"Unknown")</f>
        <v>EMEA</v>
      </c>
      <c r="G253">
        <v>2</v>
      </c>
      <c r="H253">
        <f>IF(AND(C253&lt;&gt;"",D253&lt;&gt;""),NETWORKDAYS(C253,D253),0)</f>
        <v>2</v>
      </c>
      <c r="I253" t="str">
        <f>IF(H253&gt;G253,"YES","NO")</f>
        <v>NO</v>
      </c>
      <c r="J253" t="str">
        <f>TEXT(C253,"mmm-yyyy")</f>
        <v>Apr-2026</v>
      </c>
    </row>
    <row r="254" spans="1:10" x14ac:dyDescent="0.25">
      <c r="A254" t="s">
        <v>406</v>
      </c>
      <c r="B254" t="s">
        <v>879</v>
      </c>
      <c r="C254" s="3">
        <v>46100</v>
      </c>
      <c r="D254" s="3">
        <v>46101</v>
      </c>
      <c r="E254" t="str">
        <f>IFERROR(VLOOKUP(B254,Assets_Master!A:E,5,FALSE),"Unknown")</f>
        <v>Lenovo Pro</v>
      </c>
      <c r="F254" t="str">
        <f>IFERROR(VLOOKUP(B254,Assets_Master!A:J,10,FALSE),"Unknown")</f>
        <v>AMER</v>
      </c>
      <c r="G254">
        <v>2</v>
      </c>
      <c r="H254">
        <f>IF(AND(C254&lt;&gt;"",D254&lt;&gt;""),NETWORKDAYS(C254,D254),0)</f>
        <v>2</v>
      </c>
      <c r="I254" t="str">
        <f>IF(H254&gt;G254,"YES","NO")</f>
        <v>NO</v>
      </c>
      <c r="J254" t="str">
        <f>TEXT(C254,"mmm-yyyy")</f>
        <v>Mar-2026</v>
      </c>
    </row>
    <row r="255" spans="1:10" x14ac:dyDescent="0.25">
      <c r="A255" t="s">
        <v>407</v>
      </c>
      <c r="B255" t="s">
        <v>1153</v>
      </c>
      <c r="C255" s="3">
        <v>46112</v>
      </c>
      <c r="D255" s="3">
        <v>46114</v>
      </c>
      <c r="E255" t="str">
        <f>IFERROR(VLOOKUP(B255,Assets_Master!A:E,5,FALSE),"Unknown")</f>
        <v>Fujitsu</v>
      </c>
      <c r="F255" t="str">
        <f>IFERROR(VLOOKUP(B255,Assets_Master!A:J,10,FALSE),"Unknown")</f>
        <v>EMEA</v>
      </c>
      <c r="G255">
        <v>2</v>
      </c>
      <c r="H255">
        <f>IF(AND(C255&lt;&gt;"",D255&lt;&gt;""),NETWORKDAYS(C255,D255),0)</f>
        <v>3</v>
      </c>
      <c r="I255" t="str">
        <f>IF(H255&gt;G255,"YES","NO")</f>
        <v>YES</v>
      </c>
      <c r="J255" t="str">
        <f>TEXT(C255,"mmm-yyyy")</f>
        <v>Mar-2026</v>
      </c>
    </row>
    <row r="256" spans="1:10" x14ac:dyDescent="0.25">
      <c r="A256" t="s">
        <v>408</v>
      </c>
      <c r="B256" t="s">
        <v>1166</v>
      </c>
      <c r="C256" s="3">
        <v>46119</v>
      </c>
      <c r="D256" s="3">
        <v>46120</v>
      </c>
      <c r="E256" t="str">
        <f>IFERROR(VLOOKUP(B256,Assets_Master!A:E,5,FALSE),"Unknown")</f>
        <v>Lenovo Pro</v>
      </c>
      <c r="F256" t="str">
        <f>IFERROR(VLOOKUP(B256,Assets_Master!A:J,10,FALSE),"Unknown")</f>
        <v>LATAM</v>
      </c>
      <c r="G256">
        <v>2</v>
      </c>
      <c r="H256">
        <f>IF(AND(C256&lt;&gt;"",D256&lt;&gt;""),NETWORKDAYS(C256,D256),0)</f>
        <v>2</v>
      </c>
      <c r="I256" t="str">
        <f>IF(H256&gt;G256,"YES","NO")</f>
        <v>NO</v>
      </c>
      <c r="J256" t="str">
        <f>TEXT(C256,"mmm-yyyy")</f>
        <v>Apr-2026</v>
      </c>
    </row>
    <row r="257" spans="1:10" x14ac:dyDescent="0.25">
      <c r="A257" t="s">
        <v>409</v>
      </c>
      <c r="B257" t="s">
        <v>1141</v>
      </c>
      <c r="C257" s="3">
        <v>46106</v>
      </c>
      <c r="D257" s="3">
        <v>46107</v>
      </c>
      <c r="E257" t="str">
        <f>IFERROR(VLOOKUP(B257,Assets_Master!A:E,5,FALSE),"Unknown")</f>
        <v>Dell Global</v>
      </c>
      <c r="F257" t="str">
        <f>IFERROR(VLOOKUP(B257,Assets_Master!A:J,10,FALSE),"Unknown")</f>
        <v>LATAM</v>
      </c>
      <c r="G257">
        <v>2</v>
      </c>
      <c r="H257">
        <f>IF(AND(C257&lt;&gt;"",D257&lt;&gt;""),NETWORKDAYS(C257,D257),0)</f>
        <v>2</v>
      </c>
      <c r="I257" t="str">
        <f>IF(H257&gt;G257,"YES","NO")</f>
        <v>NO</v>
      </c>
      <c r="J257" t="str">
        <f>TEXT(C257,"mmm-yyyy")</f>
        <v>Mar-2026</v>
      </c>
    </row>
    <row r="258" spans="1:10" x14ac:dyDescent="0.25">
      <c r="A258" t="s">
        <v>410</v>
      </c>
      <c r="B258" t="s">
        <v>1040</v>
      </c>
      <c r="C258" s="3">
        <v>46108</v>
      </c>
      <c r="D258" s="3">
        <v>46109</v>
      </c>
      <c r="E258" t="str">
        <f>IFERROR(VLOOKUP(B258,Assets_Master!A:E,5,FALSE),"Unknown")</f>
        <v>Lenovo Pro</v>
      </c>
      <c r="F258" t="str">
        <f>IFERROR(VLOOKUP(B258,Assets_Master!A:J,10,FALSE),"Unknown")</f>
        <v>AMER</v>
      </c>
      <c r="G258">
        <v>2</v>
      </c>
      <c r="H258">
        <f>IF(AND(C258&lt;&gt;"",D258&lt;&gt;""),NETWORKDAYS(C258,D258),0)</f>
        <v>1</v>
      </c>
      <c r="I258" t="str">
        <f>IF(H258&gt;G258,"YES","NO")</f>
        <v>NO</v>
      </c>
      <c r="J258" t="str">
        <f>TEXT(C258,"mmm-yyyy")</f>
        <v>Mar-2026</v>
      </c>
    </row>
    <row r="259" spans="1:10" x14ac:dyDescent="0.25">
      <c r="A259" t="s">
        <v>411</v>
      </c>
      <c r="B259" t="s">
        <v>1953</v>
      </c>
      <c r="C259" s="3">
        <v>46111</v>
      </c>
      <c r="D259" s="3">
        <v>46113</v>
      </c>
      <c r="E259" t="str">
        <f>IFERROR(VLOOKUP(B259,Assets_Master!A:E,5,FALSE),"Unknown")</f>
        <v>Lenovo Pro</v>
      </c>
      <c r="F259" t="str">
        <f>IFERROR(VLOOKUP(B259,Assets_Master!A:J,10,FALSE),"Unknown")</f>
        <v>LATAM</v>
      </c>
      <c r="G259">
        <v>2</v>
      </c>
      <c r="H259">
        <f>IF(AND(C259&lt;&gt;"",D259&lt;&gt;""),NETWORKDAYS(C259,D259),0)</f>
        <v>3</v>
      </c>
      <c r="I259" t="str">
        <f>IF(H259&gt;G259,"YES","NO")</f>
        <v>YES</v>
      </c>
      <c r="J259" t="str">
        <f>TEXT(C259,"mmm-yyyy")</f>
        <v>Mar-2026</v>
      </c>
    </row>
    <row r="260" spans="1:10" x14ac:dyDescent="0.25">
      <c r="A260" t="s">
        <v>412</v>
      </c>
      <c r="B260" t="s">
        <v>1973</v>
      </c>
      <c r="C260" s="3">
        <v>46105</v>
      </c>
      <c r="D260" s="3">
        <v>46107</v>
      </c>
      <c r="E260" t="str">
        <f>IFERROR(VLOOKUP(B260,Assets_Master!A:E,5,FALSE),"Unknown")</f>
        <v>Fujitsu</v>
      </c>
      <c r="F260" t="str">
        <f>IFERROR(VLOOKUP(B260,Assets_Master!A:J,10,FALSE),"Unknown")</f>
        <v>APAC</v>
      </c>
      <c r="G260">
        <v>2</v>
      </c>
      <c r="H260">
        <f>IF(AND(C260&lt;&gt;"",D260&lt;&gt;""),NETWORKDAYS(C260,D260),0)</f>
        <v>3</v>
      </c>
      <c r="I260" t="str">
        <f>IF(H260&gt;G260,"YES","NO")</f>
        <v>YES</v>
      </c>
      <c r="J260" t="str">
        <f>TEXT(C260,"mmm-yyyy")</f>
        <v>Mar-2026</v>
      </c>
    </row>
    <row r="261" spans="1:10" x14ac:dyDescent="0.25">
      <c r="A261" t="s">
        <v>413</v>
      </c>
      <c r="B261" t="s">
        <v>1116</v>
      </c>
      <c r="C261" s="3">
        <v>46113</v>
      </c>
      <c r="D261" s="3">
        <v>46115</v>
      </c>
      <c r="E261" t="str">
        <f>IFERROR(VLOOKUP(B261,Assets_Master!A:E,5,FALSE),"Unknown")</f>
        <v>Fujitsu</v>
      </c>
      <c r="F261" t="str">
        <f>IFERROR(VLOOKUP(B261,Assets_Master!A:J,10,FALSE),"Unknown")</f>
        <v>AMER</v>
      </c>
      <c r="G261">
        <v>2</v>
      </c>
      <c r="H261">
        <f>IF(AND(C261&lt;&gt;"",D261&lt;&gt;""),NETWORKDAYS(C261,D261),0)</f>
        <v>3</v>
      </c>
      <c r="I261" t="str">
        <f>IF(H261&gt;G261,"YES","NO")</f>
        <v>YES</v>
      </c>
      <c r="J261" t="str">
        <f>TEXT(C261,"mmm-yyyy")</f>
        <v>Apr-2026</v>
      </c>
    </row>
    <row r="262" spans="1:10" x14ac:dyDescent="0.25">
      <c r="A262" t="s">
        <v>414</v>
      </c>
      <c r="B262" t="s">
        <v>1207</v>
      </c>
      <c r="C262" s="3">
        <v>46093</v>
      </c>
      <c r="D262" s="3">
        <v>46095</v>
      </c>
      <c r="E262" t="str">
        <f>IFERROR(VLOOKUP(B262,Assets_Master!A:E,5,FALSE),"Unknown")</f>
        <v>Samsung IT</v>
      </c>
      <c r="F262" t="str">
        <f>IFERROR(VLOOKUP(B262,Assets_Master!A:J,10,FALSE),"Unknown")</f>
        <v>APAC</v>
      </c>
      <c r="G262">
        <v>2</v>
      </c>
      <c r="H262">
        <f>IF(AND(C262&lt;&gt;"",D262&lt;&gt;""),NETWORKDAYS(C262,D262),0)</f>
        <v>2</v>
      </c>
      <c r="I262" t="str">
        <f>IF(H262&gt;G262,"YES","NO")</f>
        <v>NO</v>
      </c>
      <c r="J262" t="str">
        <f>TEXT(C262,"mmm-yyyy")</f>
        <v>Mar-2026</v>
      </c>
    </row>
    <row r="263" spans="1:10" x14ac:dyDescent="0.25">
      <c r="A263" t="s">
        <v>415</v>
      </c>
      <c r="B263" t="s">
        <v>1533</v>
      </c>
      <c r="C263" s="3">
        <v>46096</v>
      </c>
      <c r="D263" s="3">
        <v>46097</v>
      </c>
      <c r="E263" t="str">
        <f>IFERROR(VLOOKUP(B263,Assets_Master!A:E,5,FALSE),"Unknown")</f>
        <v>HP Inc</v>
      </c>
      <c r="F263" t="str">
        <f>IFERROR(VLOOKUP(B263,Assets_Master!A:J,10,FALSE),"Unknown")</f>
        <v>AMER</v>
      </c>
      <c r="G263">
        <v>2</v>
      </c>
      <c r="H263">
        <f>IF(AND(C263&lt;&gt;"",D263&lt;&gt;""),NETWORKDAYS(C263,D263),0)</f>
        <v>1</v>
      </c>
      <c r="I263" t="str">
        <f>IF(H263&gt;G263,"YES","NO")</f>
        <v>NO</v>
      </c>
      <c r="J263" t="str">
        <f>TEXT(C263,"mmm-yyyy")</f>
        <v>Mar-2026</v>
      </c>
    </row>
    <row r="264" spans="1:10" x14ac:dyDescent="0.25">
      <c r="A264" t="s">
        <v>416</v>
      </c>
      <c r="B264" t="s">
        <v>1893</v>
      </c>
      <c r="C264" s="3">
        <v>46111</v>
      </c>
      <c r="D264" s="3">
        <v>46112</v>
      </c>
      <c r="E264" t="str">
        <f>IFERROR(VLOOKUP(B264,Assets_Master!A:E,5,FALSE),"Unknown")</f>
        <v>Dell Global</v>
      </c>
      <c r="F264" t="str">
        <f>IFERROR(VLOOKUP(B264,Assets_Master!A:J,10,FALSE),"Unknown")</f>
        <v>APAC</v>
      </c>
      <c r="G264">
        <v>2</v>
      </c>
      <c r="H264">
        <f>IF(AND(C264&lt;&gt;"",D264&lt;&gt;""),NETWORKDAYS(C264,D264),0)</f>
        <v>2</v>
      </c>
      <c r="I264" t="str">
        <f>IF(H264&gt;G264,"YES","NO")</f>
        <v>NO</v>
      </c>
      <c r="J264" t="str">
        <f>TEXT(C264,"mmm-yyyy")</f>
        <v>Mar-2026</v>
      </c>
    </row>
    <row r="265" spans="1:10" x14ac:dyDescent="0.25">
      <c r="A265" t="s">
        <v>417</v>
      </c>
      <c r="B265" t="s">
        <v>1847</v>
      </c>
      <c r="C265" s="3">
        <v>46116</v>
      </c>
      <c r="D265" s="3">
        <v>46117</v>
      </c>
      <c r="E265" t="str">
        <f>IFERROR(VLOOKUP(B265,Assets_Master!A:E,5,FALSE),"Unknown")</f>
        <v>Dell Global</v>
      </c>
      <c r="F265" t="str">
        <f>IFERROR(VLOOKUP(B265,Assets_Master!A:J,10,FALSE),"Unknown")</f>
        <v>AMER</v>
      </c>
      <c r="G265">
        <v>2</v>
      </c>
      <c r="H265">
        <f>IF(AND(C265&lt;&gt;"",D265&lt;&gt;""),NETWORKDAYS(C265,D265),0)</f>
        <v>0</v>
      </c>
      <c r="I265" t="str">
        <f>IF(H265&gt;G265,"YES","NO")</f>
        <v>NO</v>
      </c>
      <c r="J265" t="str">
        <f>TEXT(C265,"mmm-yyyy")</f>
        <v>Apr-2026</v>
      </c>
    </row>
    <row r="266" spans="1:10" x14ac:dyDescent="0.25">
      <c r="A266" t="s">
        <v>418</v>
      </c>
      <c r="B266" t="s">
        <v>1195</v>
      </c>
      <c r="C266" s="3">
        <v>46119</v>
      </c>
      <c r="D266" s="3">
        <v>46121</v>
      </c>
      <c r="E266" t="str">
        <f>IFERROR(VLOOKUP(B266,Assets_Master!A:E,5,FALSE),"Unknown")</f>
        <v>Dell Global</v>
      </c>
      <c r="F266" t="str">
        <f>IFERROR(VLOOKUP(B266,Assets_Master!A:J,10,FALSE),"Unknown")</f>
        <v>LATAM</v>
      </c>
      <c r="G266">
        <v>2</v>
      </c>
      <c r="H266">
        <f>IF(AND(C266&lt;&gt;"",D266&lt;&gt;""),NETWORKDAYS(C266,D266),0)</f>
        <v>3</v>
      </c>
      <c r="I266" t="str">
        <f>IF(H266&gt;G266,"YES","NO")</f>
        <v>YES</v>
      </c>
      <c r="J266" t="str">
        <f>TEXT(C266,"mmm-yyyy")</f>
        <v>Apr-2026</v>
      </c>
    </row>
    <row r="267" spans="1:10" x14ac:dyDescent="0.25">
      <c r="A267" t="s">
        <v>419</v>
      </c>
      <c r="B267" t="s">
        <v>1679</v>
      </c>
      <c r="C267" s="3">
        <v>46119</v>
      </c>
      <c r="D267" s="3">
        <v>46121</v>
      </c>
      <c r="E267" t="str">
        <f>IFERROR(VLOOKUP(B267,Assets_Master!A:E,5,FALSE),"Unknown")</f>
        <v>Samsung IT</v>
      </c>
      <c r="F267" t="str">
        <f>IFERROR(VLOOKUP(B267,Assets_Master!A:J,10,FALSE),"Unknown")</f>
        <v>LATAM</v>
      </c>
      <c r="G267">
        <v>2</v>
      </c>
      <c r="H267">
        <f>IF(AND(C267&lt;&gt;"",D267&lt;&gt;""),NETWORKDAYS(C267,D267),0)</f>
        <v>3</v>
      </c>
      <c r="I267" t="str">
        <f>IF(H267&gt;G267,"YES","NO")</f>
        <v>YES</v>
      </c>
      <c r="J267" t="str">
        <f>TEXT(C267,"mmm-yyyy")</f>
        <v>Apr-2026</v>
      </c>
    </row>
    <row r="268" spans="1:10" x14ac:dyDescent="0.25">
      <c r="A268" t="s">
        <v>420</v>
      </c>
      <c r="B268" t="s">
        <v>1567</v>
      </c>
      <c r="C268" s="3">
        <v>46122</v>
      </c>
      <c r="D268" s="3">
        <v>46123</v>
      </c>
      <c r="E268" t="str">
        <f>IFERROR(VLOOKUP(B268,Assets_Master!A:E,5,FALSE),"Unknown")</f>
        <v>Apple Enterprise</v>
      </c>
      <c r="F268" t="str">
        <f>IFERROR(VLOOKUP(B268,Assets_Master!A:J,10,FALSE),"Unknown")</f>
        <v>APAC</v>
      </c>
      <c r="G268">
        <v>2</v>
      </c>
      <c r="H268">
        <f>IF(AND(C268&lt;&gt;"",D268&lt;&gt;""),NETWORKDAYS(C268,D268),0)</f>
        <v>1</v>
      </c>
      <c r="I268" t="str">
        <f>IF(H268&gt;G268,"YES","NO")</f>
        <v>NO</v>
      </c>
      <c r="J268" t="str">
        <f>TEXT(C268,"mmm-yyyy")</f>
        <v>Apr-2026</v>
      </c>
    </row>
    <row r="269" spans="1:10" x14ac:dyDescent="0.25">
      <c r="A269" t="s">
        <v>421</v>
      </c>
      <c r="B269" t="s">
        <v>1673</v>
      </c>
      <c r="C269" s="3">
        <v>46106</v>
      </c>
      <c r="D269" s="3">
        <v>46107</v>
      </c>
      <c r="E269" t="str">
        <f>IFERROR(VLOOKUP(B269,Assets_Master!A:E,5,FALSE),"Unknown")</f>
        <v>Dell Global</v>
      </c>
      <c r="F269" t="str">
        <f>IFERROR(VLOOKUP(B269,Assets_Master!A:J,10,FALSE),"Unknown")</f>
        <v>AMER</v>
      </c>
      <c r="G269">
        <v>2</v>
      </c>
      <c r="H269">
        <f>IF(AND(C269&lt;&gt;"",D269&lt;&gt;""),NETWORKDAYS(C269,D269),0)</f>
        <v>2</v>
      </c>
      <c r="I269" t="str">
        <f>IF(H269&gt;G269,"YES","NO")</f>
        <v>NO</v>
      </c>
      <c r="J269" t="str">
        <f>TEXT(C269,"mmm-yyyy")</f>
        <v>Mar-2026</v>
      </c>
    </row>
    <row r="270" spans="1:10" x14ac:dyDescent="0.25">
      <c r="A270" t="s">
        <v>422</v>
      </c>
      <c r="B270" t="s">
        <v>1341</v>
      </c>
      <c r="C270" s="3">
        <v>46106</v>
      </c>
      <c r="D270" s="3">
        <v>46107</v>
      </c>
      <c r="E270" t="str">
        <f>IFERROR(VLOOKUP(B270,Assets_Master!A:E,5,FALSE),"Unknown")</f>
        <v>Fujitsu</v>
      </c>
      <c r="F270" t="str">
        <f>IFERROR(VLOOKUP(B270,Assets_Master!A:J,10,FALSE),"Unknown")</f>
        <v>APAC</v>
      </c>
      <c r="G270">
        <v>2</v>
      </c>
      <c r="H270">
        <f>IF(AND(C270&lt;&gt;"",D270&lt;&gt;""),NETWORKDAYS(C270,D270),0)</f>
        <v>2</v>
      </c>
      <c r="I270" t="str">
        <f>IF(H270&gt;G270,"YES","NO")</f>
        <v>NO</v>
      </c>
      <c r="J270" t="str">
        <f>TEXT(C270,"mmm-yyyy")</f>
        <v>Mar-2026</v>
      </c>
    </row>
    <row r="271" spans="1:10" x14ac:dyDescent="0.25">
      <c r="A271" t="s">
        <v>423</v>
      </c>
      <c r="B271" t="s">
        <v>1466</v>
      </c>
      <c r="C271" s="3">
        <v>46113</v>
      </c>
      <c r="D271" s="3">
        <v>46115</v>
      </c>
      <c r="E271" t="str">
        <f>IFERROR(VLOOKUP(B271,Assets_Master!A:E,5,FALSE),"Unknown")</f>
        <v>Fujitsu</v>
      </c>
      <c r="F271" t="str">
        <f>IFERROR(VLOOKUP(B271,Assets_Master!A:J,10,FALSE),"Unknown")</f>
        <v>EMEA</v>
      </c>
      <c r="G271">
        <v>2</v>
      </c>
      <c r="H271">
        <f>IF(AND(C271&lt;&gt;"",D271&lt;&gt;""),NETWORKDAYS(C271,D271),0)</f>
        <v>3</v>
      </c>
      <c r="I271" t="str">
        <f>IF(H271&gt;G271,"YES","NO")</f>
        <v>YES</v>
      </c>
      <c r="J271" t="str">
        <f>TEXT(C271,"mmm-yyyy")</f>
        <v>Apr-2026</v>
      </c>
    </row>
    <row r="272" spans="1:10" x14ac:dyDescent="0.25">
      <c r="A272" t="s">
        <v>424</v>
      </c>
      <c r="B272" t="s">
        <v>802</v>
      </c>
      <c r="C272" s="3">
        <v>46096</v>
      </c>
      <c r="D272" s="3">
        <v>46097</v>
      </c>
      <c r="E272" t="str">
        <f>IFERROR(VLOOKUP(B272,Assets_Master!A:E,5,FALSE),"Unknown")</f>
        <v>Samsung IT</v>
      </c>
      <c r="F272" t="str">
        <f>IFERROR(VLOOKUP(B272,Assets_Master!A:J,10,FALSE),"Unknown")</f>
        <v>AMER</v>
      </c>
      <c r="G272">
        <v>2</v>
      </c>
      <c r="H272">
        <f>IF(AND(C272&lt;&gt;"",D272&lt;&gt;""),NETWORKDAYS(C272,D272),0)</f>
        <v>1</v>
      </c>
      <c r="I272" t="str">
        <f>IF(H272&gt;G272,"YES","NO")</f>
        <v>NO</v>
      </c>
      <c r="J272" t="str">
        <f>TEXT(C272,"mmm-yyyy")</f>
        <v>Mar-2026</v>
      </c>
    </row>
    <row r="273" spans="1:10" x14ac:dyDescent="0.25">
      <c r="A273" t="s">
        <v>425</v>
      </c>
      <c r="B273" t="s">
        <v>896</v>
      </c>
      <c r="C273" s="3">
        <v>46113</v>
      </c>
      <c r="D273" s="3">
        <v>46114</v>
      </c>
      <c r="E273" t="str">
        <f>IFERROR(VLOOKUP(B273,Assets_Master!A:E,5,FALSE),"Unknown")</f>
        <v>Samsung IT</v>
      </c>
      <c r="F273" t="str">
        <f>IFERROR(VLOOKUP(B273,Assets_Master!A:J,10,FALSE),"Unknown")</f>
        <v>LATAM</v>
      </c>
      <c r="G273">
        <v>2</v>
      </c>
      <c r="H273">
        <f>IF(AND(C273&lt;&gt;"",D273&lt;&gt;""),NETWORKDAYS(C273,D273),0)</f>
        <v>2</v>
      </c>
      <c r="I273" t="str">
        <f>IF(H273&gt;G273,"YES","NO")</f>
        <v>NO</v>
      </c>
      <c r="J273" t="str">
        <f>TEXT(C273,"mmm-yyyy")</f>
        <v>Apr-2026</v>
      </c>
    </row>
    <row r="274" spans="1:10" x14ac:dyDescent="0.25">
      <c r="A274" t="s">
        <v>426</v>
      </c>
      <c r="B274" t="s">
        <v>1263</v>
      </c>
      <c r="C274" s="3">
        <v>46105</v>
      </c>
      <c r="D274" s="3">
        <v>46106</v>
      </c>
      <c r="E274" t="str">
        <f>IFERROR(VLOOKUP(B274,Assets_Master!A:E,5,FALSE),"Unknown")</f>
        <v>Samsung IT</v>
      </c>
      <c r="F274" t="str">
        <f>IFERROR(VLOOKUP(B274,Assets_Master!A:J,10,FALSE),"Unknown")</f>
        <v>AMER</v>
      </c>
      <c r="G274">
        <v>2</v>
      </c>
      <c r="H274">
        <f>IF(AND(C274&lt;&gt;"",D274&lt;&gt;""),NETWORKDAYS(C274,D274),0)</f>
        <v>2</v>
      </c>
      <c r="I274" t="str">
        <f>IF(H274&gt;G274,"YES","NO")</f>
        <v>NO</v>
      </c>
      <c r="J274" t="str">
        <f>TEXT(C274,"mmm-yyyy")</f>
        <v>Mar-2026</v>
      </c>
    </row>
    <row r="275" spans="1:10" x14ac:dyDescent="0.25">
      <c r="A275" t="s">
        <v>427</v>
      </c>
      <c r="B275" t="s">
        <v>1519</v>
      </c>
      <c r="C275" s="3">
        <v>46113</v>
      </c>
      <c r="D275" s="3">
        <v>46114</v>
      </c>
      <c r="E275" t="str">
        <f>IFERROR(VLOOKUP(B275,Assets_Master!A:E,5,FALSE),"Unknown")</f>
        <v>Lenovo Pro</v>
      </c>
      <c r="F275" t="str">
        <f>IFERROR(VLOOKUP(B275,Assets_Master!A:J,10,FALSE),"Unknown")</f>
        <v>APAC</v>
      </c>
      <c r="G275">
        <v>2</v>
      </c>
      <c r="H275">
        <f>IF(AND(C275&lt;&gt;"",D275&lt;&gt;""),NETWORKDAYS(C275,D275),0)</f>
        <v>2</v>
      </c>
      <c r="I275" t="str">
        <f>IF(H275&gt;G275,"YES","NO")</f>
        <v>NO</v>
      </c>
      <c r="J275" t="str">
        <f>TEXT(C275,"mmm-yyyy")</f>
        <v>Apr-2026</v>
      </c>
    </row>
    <row r="276" spans="1:10" x14ac:dyDescent="0.25">
      <c r="A276" t="s">
        <v>428</v>
      </c>
      <c r="B276" t="s">
        <v>950</v>
      </c>
      <c r="C276" s="3">
        <v>46094</v>
      </c>
      <c r="D276" s="3">
        <v>46095</v>
      </c>
      <c r="E276" t="str">
        <f>IFERROR(VLOOKUP(B276,Assets_Master!A:E,5,FALSE),"Unknown")</f>
        <v>Dell Global</v>
      </c>
      <c r="F276" t="str">
        <f>IFERROR(VLOOKUP(B276,Assets_Master!A:J,10,FALSE),"Unknown")</f>
        <v>LATAM</v>
      </c>
      <c r="G276">
        <v>2</v>
      </c>
      <c r="H276">
        <f>IF(AND(C276&lt;&gt;"",D276&lt;&gt;""),NETWORKDAYS(C276,D276),0)</f>
        <v>1</v>
      </c>
      <c r="I276" t="str">
        <f>IF(H276&gt;G276,"YES","NO")</f>
        <v>NO</v>
      </c>
      <c r="J276" t="str">
        <f>TEXT(C276,"mmm-yyyy")</f>
        <v>Mar-2026</v>
      </c>
    </row>
    <row r="277" spans="1:10" x14ac:dyDescent="0.25">
      <c r="A277" t="s">
        <v>429</v>
      </c>
      <c r="B277" t="s">
        <v>651</v>
      </c>
      <c r="C277" s="3">
        <v>46098</v>
      </c>
      <c r="D277" s="3">
        <v>46100</v>
      </c>
      <c r="E277" t="str">
        <f>IFERROR(VLOOKUP(B277,Assets_Master!A:E,5,FALSE),"Unknown")</f>
        <v>Samsung IT</v>
      </c>
      <c r="F277" t="str">
        <f>IFERROR(VLOOKUP(B277,Assets_Master!A:J,10,FALSE),"Unknown")</f>
        <v>APAC</v>
      </c>
      <c r="G277">
        <v>2</v>
      </c>
      <c r="H277">
        <f>IF(AND(C277&lt;&gt;"",D277&lt;&gt;""),NETWORKDAYS(C277,D277),0)</f>
        <v>3</v>
      </c>
      <c r="I277" t="str">
        <f>IF(H277&gt;G277,"YES","NO")</f>
        <v>YES</v>
      </c>
      <c r="J277" t="str">
        <f>TEXT(C277,"mmm-yyyy")</f>
        <v>Mar-2026</v>
      </c>
    </row>
    <row r="278" spans="1:10" x14ac:dyDescent="0.25">
      <c r="A278" t="s">
        <v>430</v>
      </c>
      <c r="B278" t="s">
        <v>1704</v>
      </c>
      <c r="C278" s="3">
        <v>46122</v>
      </c>
      <c r="D278" s="3">
        <v>46124</v>
      </c>
      <c r="E278" t="str">
        <f>IFERROR(VLOOKUP(B278,Assets_Master!A:E,5,FALSE),"Unknown")</f>
        <v>Fujitsu</v>
      </c>
      <c r="F278" t="str">
        <f>IFERROR(VLOOKUP(B278,Assets_Master!A:J,10,FALSE),"Unknown")</f>
        <v>APAC</v>
      </c>
      <c r="G278">
        <v>2</v>
      </c>
      <c r="H278">
        <f>IF(AND(C278&lt;&gt;"",D278&lt;&gt;""),NETWORKDAYS(C278,D278),0)</f>
        <v>1</v>
      </c>
      <c r="I278" t="str">
        <f>IF(H278&gt;G278,"YES","NO")</f>
        <v>NO</v>
      </c>
      <c r="J278" t="str">
        <f>TEXT(C278,"mmm-yyyy")</f>
        <v>Apr-2026</v>
      </c>
    </row>
    <row r="279" spans="1:10" x14ac:dyDescent="0.25">
      <c r="A279" t="s">
        <v>431</v>
      </c>
      <c r="B279" t="s">
        <v>1629</v>
      </c>
      <c r="C279" s="3">
        <v>46100</v>
      </c>
      <c r="D279" s="3">
        <v>46102</v>
      </c>
      <c r="E279" t="str">
        <f>IFERROR(VLOOKUP(B279,Assets_Master!A:E,5,FALSE),"Unknown")</f>
        <v>Samsung IT</v>
      </c>
      <c r="F279" t="str">
        <f>IFERROR(VLOOKUP(B279,Assets_Master!A:J,10,FALSE),"Unknown")</f>
        <v>EMEA</v>
      </c>
      <c r="G279">
        <v>2</v>
      </c>
      <c r="H279">
        <f>IF(AND(C279&lt;&gt;"",D279&lt;&gt;""),NETWORKDAYS(C279,D279),0)</f>
        <v>2</v>
      </c>
      <c r="I279" t="str">
        <f>IF(H279&gt;G279,"YES","NO")</f>
        <v>NO</v>
      </c>
      <c r="J279" t="str">
        <f>TEXT(C279,"mmm-yyyy")</f>
        <v>Mar-2026</v>
      </c>
    </row>
    <row r="280" spans="1:10" x14ac:dyDescent="0.25">
      <c r="A280" t="s">
        <v>432</v>
      </c>
      <c r="B280" t="s">
        <v>738</v>
      </c>
      <c r="C280" s="3">
        <v>46095</v>
      </c>
      <c r="D280" s="3">
        <v>46097</v>
      </c>
      <c r="E280" t="str">
        <f>IFERROR(VLOOKUP(B280,Assets_Master!A:E,5,FALSE),"Unknown")</f>
        <v>Cisco Systems</v>
      </c>
      <c r="F280" t="str">
        <f>IFERROR(VLOOKUP(B280,Assets_Master!A:J,10,FALSE),"Unknown")</f>
        <v>APAC</v>
      </c>
      <c r="G280">
        <v>2</v>
      </c>
      <c r="H280">
        <f>IF(AND(C280&lt;&gt;"",D280&lt;&gt;""),NETWORKDAYS(C280,D280),0)</f>
        <v>1</v>
      </c>
      <c r="I280" t="str">
        <f>IF(H280&gt;G280,"YES","NO")</f>
        <v>NO</v>
      </c>
      <c r="J280" t="str">
        <f>TEXT(C280,"mmm-yyyy")</f>
        <v>Mar-2026</v>
      </c>
    </row>
    <row r="281" spans="1:10" x14ac:dyDescent="0.25">
      <c r="A281" t="s">
        <v>433</v>
      </c>
      <c r="B281" t="s">
        <v>2025</v>
      </c>
      <c r="C281" s="3">
        <v>46116</v>
      </c>
      <c r="D281" s="3">
        <v>46117</v>
      </c>
      <c r="E281" t="str">
        <f>IFERROR(VLOOKUP(B281,Assets_Master!A:E,5,FALSE),"Unknown")</f>
        <v>Fujitsu</v>
      </c>
      <c r="F281" t="str">
        <f>IFERROR(VLOOKUP(B281,Assets_Master!A:J,10,FALSE),"Unknown")</f>
        <v>AMER</v>
      </c>
      <c r="G281">
        <v>2</v>
      </c>
      <c r="H281">
        <f>IF(AND(C281&lt;&gt;"",D281&lt;&gt;""),NETWORKDAYS(C281,D281),0)</f>
        <v>0</v>
      </c>
      <c r="I281" t="str">
        <f>IF(H281&gt;G281,"YES","NO")</f>
        <v>NO</v>
      </c>
      <c r="J281" t="str">
        <f>TEXT(C281,"mmm-yyyy")</f>
        <v>Apr-2026</v>
      </c>
    </row>
    <row r="282" spans="1:10" x14ac:dyDescent="0.25">
      <c r="A282" t="s">
        <v>434</v>
      </c>
      <c r="B282" t="s">
        <v>1307</v>
      </c>
      <c r="C282" s="3">
        <v>46115</v>
      </c>
      <c r="D282" s="3">
        <v>46116</v>
      </c>
      <c r="E282" t="str">
        <f>IFERROR(VLOOKUP(B282,Assets_Master!A:E,5,FALSE),"Unknown")</f>
        <v>Lenovo Pro</v>
      </c>
      <c r="F282" t="str">
        <f>IFERROR(VLOOKUP(B282,Assets_Master!A:J,10,FALSE),"Unknown")</f>
        <v>LATAM</v>
      </c>
      <c r="G282">
        <v>2</v>
      </c>
      <c r="H282">
        <f>IF(AND(C282&lt;&gt;"",D282&lt;&gt;""),NETWORKDAYS(C282,D282),0)</f>
        <v>1</v>
      </c>
      <c r="I282" t="str">
        <f>IF(H282&gt;G282,"YES","NO")</f>
        <v>NO</v>
      </c>
      <c r="J282" t="str">
        <f>TEXT(C282,"mmm-yyyy")</f>
        <v>Apr-2026</v>
      </c>
    </row>
    <row r="283" spans="1:10" x14ac:dyDescent="0.25">
      <c r="A283" t="s">
        <v>435</v>
      </c>
      <c r="B283" t="s">
        <v>1519</v>
      </c>
      <c r="C283" s="3">
        <v>46111</v>
      </c>
      <c r="D283" s="3">
        <v>46112</v>
      </c>
      <c r="E283" t="str">
        <f>IFERROR(VLOOKUP(B283,Assets_Master!A:E,5,FALSE),"Unknown")</f>
        <v>Lenovo Pro</v>
      </c>
      <c r="F283" t="str">
        <f>IFERROR(VLOOKUP(B283,Assets_Master!A:J,10,FALSE),"Unknown")</f>
        <v>APAC</v>
      </c>
      <c r="G283">
        <v>2</v>
      </c>
      <c r="H283">
        <f>IF(AND(C283&lt;&gt;"",D283&lt;&gt;""),NETWORKDAYS(C283,D283),0)</f>
        <v>2</v>
      </c>
      <c r="I283" t="str">
        <f>IF(H283&gt;G283,"YES","NO")</f>
        <v>NO</v>
      </c>
      <c r="J283" t="str">
        <f>TEXT(C283,"mmm-yyyy")</f>
        <v>Mar-2026</v>
      </c>
    </row>
    <row r="284" spans="1:10" x14ac:dyDescent="0.25">
      <c r="A284" t="s">
        <v>436</v>
      </c>
      <c r="B284" t="s">
        <v>796</v>
      </c>
      <c r="C284" s="3">
        <v>46111</v>
      </c>
      <c r="D284" s="3">
        <v>46112</v>
      </c>
      <c r="E284" t="str">
        <f>IFERROR(VLOOKUP(B284,Assets_Master!A:E,5,FALSE),"Unknown")</f>
        <v>Fujitsu</v>
      </c>
      <c r="F284" t="str">
        <f>IFERROR(VLOOKUP(B284,Assets_Master!A:J,10,FALSE),"Unknown")</f>
        <v>EMEA</v>
      </c>
      <c r="G284">
        <v>2</v>
      </c>
      <c r="H284">
        <f>IF(AND(C284&lt;&gt;"",D284&lt;&gt;""),NETWORKDAYS(C284,D284),0)</f>
        <v>2</v>
      </c>
      <c r="I284" t="str">
        <f>IF(H284&gt;G284,"YES","NO")</f>
        <v>NO</v>
      </c>
      <c r="J284" t="str">
        <f>TEXT(C284,"mmm-yyyy")</f>
        <v>Mar-2026</v>
      </c>
    </row>
    <row r="285" spans="1:10" x14ac:dyDescent="0.25">
      <c r="A285" t="s">
        <v>437</v>
      </c>
      <c r="B285" t="s">
        <v>1684</v>
      </c>
      <c r="C285" s="3">
        <v>46104</v>
      </c>
      <c r="D285" s="3">
        <v>46106</v>
      </c>
      <c r="E285" t="str">
        <f>IFERROR(VLOOKUP(B285,Assets_Master!A:E,5,FALSE),"Unknown")</f>
        <v>Cisco Systems</v>
      </c>
      <c r="F285" t="str">
        <f>IFERROR(VLOOKUP(B285,Assets_Master!A:J,10,FALSE),"Unknown")</f>
        <v>AMER</v>
      </c>
      <c r="G285">
        <v>2</v>
      </c>
      <c r="H285">
        <f>IF(AND(C285&lt;&gt;"",D285&lt;&gt;""),NETWORKDAYS(C285,D285),0)</f>
        <v>3</v>
      </c>
      <c r="I285" t="str">
        <f>IF(H285&gt;G285,"YES","NO")</f>
        <v>YES</v>
      </c>
      <c r="J285" t="str">
        <f>TEXT(C285,"mmm-yyyy")</f>
        <v>Mar-2026</v>
      </c>
    </row>
    <row r="286" spans="1:10" x14ac:dyDescent="0.25">
      <c r="A286" t="s">
        <v>438</v>
      </c>
      <c r="B286" t="s">
        <v>1861</v>
      </c>
      <c r="C286" s="3">
        <v>46098</v>
      </c>
      <c r="D286" s="3">
        <v>46099</v>
      </c>
      <c r="E286" t="str">
        <f>IFERROR(VLOOKUP(B286,Assets_Master!A:E,5,FALSE),"Unknown")</f>
        <v>Lenovo Pro</v>
      </c>
      <c r="F286" t="str">
        <f>IFERROR(VLOOKUP(B286,Assets_Master!A:J,10,FALSE),"Unknown")</f>
        <v>APAC</v>
      </c>
      <c r="G286">
        <v>2</v>
      </c>
      <c r="H286">
        <f>IF(AND(C286&lt;&gt;"",D286&lt;&gt;""),NETWORKDAYS(C286,D286),0)</f>
        <v>2</v>
      </c>
      <c r="I286" t="str">
        <f>IF(H286&gt;G286,"YES","NO")</f>
        <v>NO</v>
      </c>
      <c r="J286" t="str">
        <f>TEXT(C286,"mmm-yyyy")</f>
        <v>Mar-2026</v>
      </c>
    </row>
    <row r="287" spans="1:10" x14ac:dyDescent="0.25">
      <c r="A287" t="s">
        <v>439</v>
      </c>
      <c r="B287" t="s">
        <v>1956</v>
      </c>
      <c r="C287" s="3">
        <v>46100</v>
      </c>
      <c r="D287" s="3">
        <v>46102</v>
      </c>
      <c r="E287" t="str">
        <f>IFERROR(VLOOKUP(B287,Assets_Master!A:E,5,FALSE),"Unknown")</f>
        <v>Lenovo Pro</v>
      </c>
      <c r="F287" t="str">
        <f>IFERROR(VLOOKUP(B287,Assets_Master!A:J,10,FALSE),"Unknown")</f>
        <v>EMEA</v>
      </c>
      <c r="G287">
        <v>2</v>
      </c>
      <c r="H287">
        <f>IF(AND(C287&lt;&gt;"",D287&lt;&gt;""),NETWORKDAYS(C287,D287),0)</f>
        <v>2</v>
      </c>
      <c r="I287" t="str">
        <f>IF(H287&gt;G287,"YES","NO")</f>
        <v>NO</v>
      </c>
      <c r="J287" t="str">
        <f>TEXT(C287,"mmm-yyyy")</f>
        <v>Mar-2026</v>
      </c>
    </row>
    <row r="288" spans="1:10" x14ac:dyDescent="0.25">
      <c r="A288" t="s">
        <v>440</v>
      </c>
      <c r="B288" t="s">
        <v>1473</v>
      </c>
      <c r="C288" s="3">
        <v>46108</v>
      </c>
      <c r="D288" s="3">
        <v>46109</v>
      </c>
      <c r="E288" t="str">
        <f>IFERROR(VLOOKUP(B288,Assets_Master!A:E,5,FALSE),"Unknown")</f>
        <v>Lenovo Pro</v>
      </c>
      <c r="F288" t="str">
        <f>IFERROR(VLOOKUP(B288,Assets_Master!A:J,10,FALSE),"Unknown")</f>
        <v>AMER</v>
      </c>
      <c r="G288">
        <v>2</v>
      </c>
      <c r="H288">
        <f>IF(AND(C288&lt;&gt;"",D288&lt;&gt;""),NETWORKDAYS(C288,D288),0)</f>
        <v>1</v>
      </c>
      <c r="I288" t="str">
        <f>IF(H288&gt;G288,"YES","NO")</f>
        <v>NO</v>
      </c>
      <c r="J288" t="str">
        <f>TEXT(C288,"mmm-yyyy")</f>
        <v>Mar-2026</v>
      </c>
    </row>
    <row r="289" spans="1:10" x14ac:dyDescent="0.25">
      <c r="A289" t="s">
        <v>441</v>
      </c>
      <c r="B289" t="s">
        <v>1181</v>
      </c>
      <c r="C289" s="3">
        <v>46115</v>
      </c>
      <c r="D289" s="3">
        <v>46117</v>
      </c>
      <c r="E289" t="str">
        <f>IFERROR(VLOOKUP(B289,Assets_Master!A:E,5,FALSE),"Unknown")</f>
        <v>Cisco Systems</v>
      </c>
      <c r="F289" t="str">
        <f>IFERROR(VLOOKUP(B289,Assets_Master!A:J,10,FALSE),"Unknown")</f>
        <v>AMER</v>
      </c>
      <c r="G289">
        <v>2</v>
      </c>
      <c r="H289">
        <f>IF(AND(C289&lt;&gt;"",D289&lt;&gt;""),NETWORKDAYS(C289,D289),0)</f>
        <v>1</v>
      </c>
      <c r="I289" t="str">
        <f>IF(H289&gt;G289,"YES","NO")</f>
        <v>NO</v>
      </c>
      <c r="J289" t="str">
        <f>TEXT(C289,"mmm-yyyy")</f>
        <v>Apr-2026</v>
      </c>
    </row>
    <row r="290" spans="1:10" x14ac:dyDescent="0.25">
      <c r="A290" t="s">
        <v>442</v>
      </c>
      <c r="B290" t="s">
        <v>1605</v>
      </c>
      <c r="C290" s="3">
        <v>46093</v>
      </c>
      <c r="D290" s="3">
        <v>46095</v>
      </c>
      <c r="E290" t="str">
        <f>IFERROR(VLOOKUP(B290,Assets_Master!A:E,5,FALSE),"Unknown")</f>
        <v>HP Inc</v>
      </c>
      <c r="F290" t="str">
        <f>IFERROR(VLOOKUP(B290,Assets_Master!A:J,10,FALSE),"Unknown")</f>
        <v>AMER</v>
      </c>
      <c r="G290">
        <v>2</v>
      </c>
      <c r="H290">
        <f>IF(AND(C290&lt;&gt;"",D290&lt;&gt;""),NETWORKDAYS(C290,D290),0)</f>
        <v>2</v>
      </c>
      <c r="I290" t="str">
        <f>IF(H290&gt;G290,"YES","NO")</f>
        <v>NO</v>
      </c>
      <c r="J290" t="str">
        <f>TEXT(C290,"mmm-yyyy")</f>
        <v>Mar-2026</v>
      </c>
    </row>
    <row r="291" spans="1:10" x14ac:dyDescent="0.25">
      <c r="A291" t="s">
        <v>443</v>
      </c>
      <c r="B291" t="s">
        <v>2012</v>
      </c>
      <c r="C291" s="3">
        <v>46121</v>
      </c>
      <c r="D291" s="3">
        <v>46122</v>
      </c>
      <c r="E291" t="str">
        <f>IFERROR(VLOOKUP(B291,Assets_Master!A:E,5,FALSE),"Unknown")</f>
        <v>Cisco Systems</v>
      </c>
      <c r="F291" t="str">
        <f>IFERROR(VLOOKUP(B291,Assets_Master!A:J,10,FALSE),"Unknown")</f>
        <v>AMER</v>
      </c>
      <c r="G291">
        <v>2</v>
      </c>
      <c r="H291">
        <f>IF(AND(C291&lt;&gt;"",D291&lt;&gt;""),NETWORKDAYS(C291,D291),0)</f>
        <v>2</v>
      </c>
      <c r="I291" t="str">
        <f>IF(H291&gt;G291,"YES","NO")</f>
        <v>NO</v>
      </c>
      <c r="J291" t="str">
        <f>TEXT(C291,"mmm-yyyy")</f>
        <v>Apr-2026</v>
      </c>
    </row>
    <row r="292" spans="1:10" x14ac:dyDescent="0.25">
      <c r="A292" t="s">
        <v>444</v>
      </c>
      <c r="B292" t="s">
        <v>1171</v>
      </c>
      <c r="C292" s="3">
        <v>46102</v>
      </c>
      <c r="D292" s="3">
        <v>46104</v>
      </c>
      <c r="E292" t="str">
        <f>IFERROR(VLOOKUP(B292,Assets_Master!A:E,5,FALSE),"Unknown")</f>
        <v>Apple Enterprise</v>
      </c>
      <c r="F292" t="str">
        <f>IFERROR(VLOOKUP(B292,Assets_Master!A:J,10,FALSE),"Unknown")</f>
        <v>EMEA</v>
      </c>
      <c r="G292">
        <v>2</v>
      </c>
      <c r="H292">
        <f>IF(AND(C292&lt;&gt;"",D292&lt;&gt;""),NETWORKDAYS(C292,D292),0)</f>
        <v>1</v>
      </c>
      <c r="I292" t="str">
        <f>IF(H292&gt;G292,"YES","NO")</f>
        <v>NO</v>
      </c>
      <c r="J292" t="str">
        <f>TEXT(C292,"mmm-yyyy")</f>
        <v>Mar-2026</v>
      </c>
    </row>
    <row r="293" spans="1:10" x14ac:dyDescent="0.25">
      <c r="A293" t="s">
        <v>445</v>
      </c>
      <c r="B293" t="s">
        <v>1787</v>
      </c>
      <c r="C293" s="3">
        <v>46121</v>
      </c>
      <c r="D293" s="3">
        <v>46123</v>
      </c>
      <c r="E293" t="str">
        <f>IFERROR(VLOOKUP(B293,Assets_Master!A:E,5,FALSE),"Unknown")</f>
        <v>Dell Global</v>
      </c>
      <c r="F293" t="str">
        <f>IFERROR(VLOOKUP(B293,Assets_Master!A:J,10,FALSE),"Unknown")</f>
        <v>LATAM</v>
      </c>
      <c r="G293">
        <v>2</v>
      </c>
      <c r="H293">
        <f>IF(AND(C293&lt;&gt;"",D293&lt;&gt;""),NETWORKDAYS(C293,D293),0)</f>
        <v>2</v>
      </c>
      <c r="I293" t="str">
        <f>IF(H293&gt;G293,"YES","NO")</f>
        <v>NO</v>
      </c>
      <c r="J293" t="str">
        <f>TEXT(C293,"mmm-yyyy")</f>
        <v>Apr-2026</v>
      </c>
    </row>
    <row r="294" spans="1:10" x14ac:dyDescent="0.25">
      <c r="A294" t="s">
        <v>446</v>
      </c>
      <c r="B294" t="s">
        <v>1234</v>
      </c>
      <c r="C294" s="3">
        <v>46101</v>
      </c>
      <c r="D294" s="3">
        <v>46102</v>
      </c>
      <c r="E294" t="str">
        <f>IFERROR(VLOOKUP(B294,Assets_Master!A:E,5,FALSE),"Unknown")</f>
        <v>Cisco Systems</v>
      </c>
      <c r="F294" t="str">
        <f>IFERROR(VLOOKUP(B294,Assets_Master!A:J,10,FALSE),"Unknown")</f>
        <v>AMER</v>
      </c>
      <c r="G294">
        <v>2</v>
      </c>
      <c r="H294">
        <f>IF(AND(C294&lt;&gt;"",D294&lt;&gt;""),NETWORKDAYS(C294,D294),0)</f>
        <v>1</v>
      </c>
      <c r="I294" t="str">
        <f>IF(H294&gt;G294,"YES","NO")</f>
        <v>NO</v>
      </c>
      <c r="J294" t="str">
        <f>TEXT(C294,"mmm-yyyy")</f>
        <v>Mar-2026</v>
      </c>
    </row>
    <row r="295" spans="1:10" x14ac:dyDescent="0.25">
      <c r="A295" t="s">
        <v>447</v>
      </c>
      <c r="B295" t="s">
        <v>930</v>
      </c>
      <c r="C295" s="3">
        <v>46117</v>
      </c>
      <c r="D295" s="3">
        <v>46119</v>
      </c>
      <c r="E295" t="str">
        <f>IFERROR(VLOOKUP(B295,Assets_Master!A:E,5,FALSE),"Unknown")</f>
        <v>HP Inc</v>
      </c>
      <c r="F295" t="str">
        <f>IFERROR(VLOOKUP(B295,Assets_Master!A:J,10,FALSE),"Unknown")</f>
        <v>LATAM</v>
      </c>
      <c r="G295">
        <v>2</v>
      </c>
      <c r="H295">
        <f>IF(AND(C295&lt;&gt;"",D295&lt;&gt;""),NETWORKDAYS(C295,D295),0)</f>
        <v>2</v>
      </c>
      <c r="I295" t="str">
        <f>IF(H295&gt;G295,"YES","NO")</f>
        <v>NO</v>
      </c>
      <c r="J295" t="str">
        <f>TEXT(C295,"mmm-yyyy")</f>
        <v>Apr-2026</v>
      </c>
    </row>
    <row r="296" spans="1:10" x14ac:dyDescent="0.25">
      <c r="A296" t="s">
        <v>448</v>
      </c>
      <c r="B296" t="s">
        <v>1769</v>
      </c>
      <c r="C296" s="3">
        <v>46099</v>
      </c>
      <c r="D296" s="3">
        <v>46101</v>
      </c>
      <c r="E296" t="str">
        <f>IFERROR(VLOOKUP(B296,Assets_Master!A:E,5,FALSE),"Unknown")</f>
        <v>HP Inc</v>
      </c>
      <c r="F296" t="str">
        <f>IFERROR(VLOOKUP(B296,Assets_Master!A:J,10,FALSE),"Unknown")</f>
        <v>LATAM</v>
      </c>
      <c r="G296">
        <v>2</v>
      </c>
      <c r="H296">
        <f>IF(AND(C296&lt;&gt;"",D296&lt;&gt;""),NETWORKDAYS(C296,D296),0)</f>
        <v>3</v>
      </c>
      <c r="I296" t="str">
        <f>IF(H296&gt;G296,"YES","NO")</f>
        <v>YES</v>
      </c>
      <c r="J296" t="str">
        <f>TEXT(C296,"mmm-yyyy")</f>
        <v>Mar-2026</v>
      </c>
    </row>
    <row r="297" spans="1:10" x14ac:dyDescent="0.25">
      <c r="A297" t="s">
        <v>449</v>
      </c>
      <c r="B297" t="s">
        <v>942</v>
      </c>
      <c r="C297" s="3">
        <v>46114</v>
      </c>
      <c r="D297" s="3">
        <v>46116</v>
      </c>
      <c r="E297" t="str">
        <f>IFERROR(VLOOKUP(B297,Assets_Master!A:E,5,FALSE),"Unknown")</f>
        <v>Samsung IT</v>
      </c>
      <c r="F297" t="str">
        <f>IFERROR(VLOOKUP(B297,Assets_Master!A:J,10,FALSE),"Unknown")</f>
        <v>APAC</v>
      </c>
      <c r="G297">
        <v>2</v>
      </c>
      <c r="H297">
        <f>IF(AND(C297&lt;&gt;"",D297&lt;&gt;""),NETWORKDAYS(C297,D297),0)</f>
        <v>2</v>
      </c>
      <c r="I297" t="str">
        <f>IF(H297&gt;G297,"YES","NO")</f>
        <v>NO</v>
      </c>
      <c r="J297" t="str">
        <f>TEXT(C297,"mmm-yyyy")</f>
        <v>Apr-2026</v>
      </c>
    </row>
    <row r="298" spans="1:10" x14ac:dyDescent="0.25">
      <c r="A298" t="s">
        <v>450</v>
      </c>
      <c r="B298" t="s">
        <v>1935</v>
      </c>
      <c r="C298" s="3">
        <v>46098</v>
      </c>
      <c r="D298" s="3">
        <v>46100</v>
      </c>
      <c r="E298" t="str">
        <f>IFERROR(VLOOKUP(B298,Assets_Master!A:E,5,FALSE),"Unknown")</f>
        <v>Dell Global</v>
      </c>
      <c r="F298" t="str">
        <f>IFERROR(VLOOKUP(B298,Assets_Master!A:J,10,FALSE),"Unknown")</f>
        <v>APAC</v>
      </c>
      <c r="G298">
        <v>2</v>
      </c>
      <c r="H298">
        <f>IF(AND(C298&lt;&gt;"",D298&lt;&gt;""),NETWORKDAYS(C298,D298),0)</f>
        <v>3</v>
      </c>
      <c r="I298" t="str">
        <f>IF(H298&gt;G298,"YES","NO")</f>
        <v>YES</v>
      </c>
      <c r="J298" t="str">
        <f>TEXT(C298,"mmm-yyyy")</f>
        <v>Mar-2026</v>
      </c>
    </row>
    <row r="299" spans="1:10" x14ac:dyDescent="0.25">
      <c r="A299" t="s">
        <v>451</v>
      </c>
      <c r="B299" t="s">
        <v>629</v>
      </c>
      <c r="C299" s="3">
        <v>46121</v>
      </c>
      <c r="D299" s="3">
        <v>46122</v>
      </c>
      <c r="E299" t="str">
        <f>IFERROR(VLOOKUP(B299,Assets_Master!A:E,5,FALSE),"Unknown")</f>
        <v>Dell Global</v>
      </c>
      <c r="F299" t="str">
        <f>IFERROR(VLOOKUP(B299,Assets_Master!A:J,10,FALSE),"Unknown")</f>
        <v>LATAM</v>
      </c>
      <c r="G299">
        <v>2</v>
      </c>
      <c r="H299">
        <f>IF(AND(C299&lt;&gt;"",D299&lt;&gt;""),NETWORKDAYS(C299,D299),0)</f>
        <v>2</v>
      </c>
      <c r="I299" t="str">
        <f>IF(H299&gt;G299,"YES","NO")</f>
        <v>NO</v>
      </c>
      <c r="J299" t="str">
        <f>TEXT(C299,"mmm-yyyy")</f>
        <v>Apr-2026</v>
      </c>
    </row>
    <row r="300" spans="1:10" x14ac:dyDescent="0.25">
      <c r="A300" t="s">
        <v>452</v>
      </c>
      <c r="B300" t="s">
        <v>732</v>
      </c>
      <c r="C300" s="3">
        <v>46116</v>
      </c>
      <c r="D300" s="3">
        <v>46118</v>
      </c>
      <c r="E300" t="str">
        <f>IFERROR(VLOOKUP(B300,Assets_Master!A:E,5,FALSE),"Unknown")</f>
        <v>Cisco Systems</v>
      </c>
      <c r="F300" t="str">
        <f>IFERROR(VLOOKUP(B300,Assets_Master!A:J,10,FALSE),"Unknown")</f>
        <v>EMEA</v>
      </c>
      <c r="G300">
        <v>2</v>
      </c>
      <c r="H300">
        <f>IF(AND(C300&lt;&gt;"",D300&lt;&gt;""),NETWORKDAYS(C300,D300),0)</f>
        <v>1</v>
      </c>
      <c r="I300" t="str">
        <f>IF(H300&gt;G300,"YES","NO")</f>
        <v>NO</v>
      </c>
      <c r="J300" t="str">
        <f>TEXT(C300,"mmm-yyyy")</f>
        <v>Apr-2026</v>
      </c>
    </row>
    <row r="301" spans="1:10" x14ac:dyDescent="0.25">
      <c r="A301" t="s">
        <v>453</v>
      </c>
      <c r="B301" t="s">
        <v>1407</v>
      </c>
      <c r="C301" s="3">
        <v>46104</v>
      </c>
      <c r="D301" s="3">
        <v>46105</v>
      </c>
      <c r="E301" t="str">
        <f>IFERROR(VLOOKUP(B301,Assets_Master!A:E,5,FALSE),"Unknown")</f>
        <v>Dell Global</v>
      </c>
      <c r="F301" t="str">
        <f>IFERROR(VLOOKUP(B301,Assets_Master!A:J,10,FALSE),"Unknown")</f>
        <v>APAC</v>
      </c>
      <c r="G301">
        <v>2</v>
      </c>
      <c r="H301">
        <f>IF(AND(C301&lt;&gt;"",D301&lt;&gt;""),NETWORKDAYS(C301,D301),0)</f>
        <v>2</v>
      </c>
      <c r="I301" t="str">
        <f>IF(H301&gt;G301,"YES","NO")</f>
        <v>NO</v>
      </c>
      <c r="J301" t="str">
        <f>TEXT(C301,"mmm-yyyy")</f>
        <v>Mar-2026</v>
      </c>
    </row>
    <row r="302" spans="1:10" x14ac:dyDescent="0.25">
      <c r="A302" t="s">
        <v>454</v>
      </c>
      <c r="B302" t="s">
        <v>1141</v>
      </c>
      <c r="C302" s="3">
        <v>46112</v>
      </c>
      <c r="D302" s="3">
        <v>46114</v>
      </c>
      <c r="E302" t="str">
        <f>IFERROR(VLOOKUP(B302,Assets_Master!A:E,5,FALSE),"Unknown")</f>
        <v>Dell Global</v>
      </c>
      <c r="F302" t="str">
        <f>IFERROR(VLOOKUP(B302,Assets_Master!A:J,10,FALSE),"Unknown")</f>
        <v>LATAM</v>
      </c>
      <c r="G302">
        <v>2</v>
      </c>
      <c r="H302">
        <f>IF(AND(C302&lt;&gt;"",D302&lt;&gt;""),NETWORKDAYS(C302,D302),0)</f>
        <v>3</v>
      </c>
      <c r="I302" t="str">
        <f>IF(H302&gt;G302,"YES","NO")</f>
        <v>YES</v>
      </c>
      <c r="J302" t="str">
        <f>TEXT(C302,"mmm-yyyy")</f>
        <v>Mar-2026</v>
      </c>
    </row>
    <row r="303" spans="1:10" x14ac:dyDescent="0.25">
      <c r="A303" t="s">
        <v>455</v>
      </c>
      <c r="B303" t="s">
        <v>1796</v>
      </c>
      <c r="C303" s="3">
        <v>46111</v>
      </c>
      <c r="D303" s="3">
        <v>46112</v>
      </c>
      <c r="E303" t="str">
        <f>IFERROR(VLOOKUP(B303,Assets_Master!A:E,5,FALSE),"Unknown")</f>
        <v>HP Inc</v>
      </c>
      <c r="F303" t="str">
        <f>IFERROR(VLOOKUP(B303,Assets_Master!A:J,10,FALSE),"Unknown")</f>
        <v>EMEA</v>
      </c>
      <c r="G303">
        <v>2</v>
      </c>
      <c r="H303">
        <f>IF(AND(C303&lt;&gt;"",D303&lt;&gt;""),NETWORKDAYS(C303,D303),0)</f>
        <v>2</v>
      </c>
      <c r="I303" t="str">
        <f>IF(H303&gt;G303,"YES","NO")</f>
        <v>NO</v>
      </c>
      <c r="J303" t="str">
        <f>TEXT(C303,"mmm-yyyy")</f>
        <v>Mar-2026</v>
      </c>
    </row>
    <row r="304" spans="1:10" x14ac:dyDescent="0.25">
      <c r="A304" t="s">
        <v>456</v>
      </c>
      <c r="B304" t="s">
        <v>1417</v>
      </c>
      <c r="C304" s="3">
        <v>46101</v>
      </c>
      <c r="D304" s="3">
        <v>46102</v>
      </c>
      <c r="E304" t="str">
        <f>IFERROR(VLOOKUP(B304,Assets_Master!A:E,5,FALSE),"Unknown")</f>
        <v>Dell Global</v>
      </c>
      <c r="F304" t="str">
        <f>IFERROR(VLOOKUP(B304,Assets_Master!A:J,10,FALSE),"Unknown")</f>
        <v>LATAM</v>
      </c>
      <c r="G304">
        <v>2</v>
      </c>
      <c r="H304">
        <f>IF(AND(C304&lt;&gt;"",D304&lt;&gt;""),NETWORKDAYS(C304,D304),0)</f>
        <v>1</v>
      </c>
      <c r="I304" t="str">
        <f>IF(H304&gt;G304,"YES","NO")</f>
        <v>NO</v>
      </c>
      <c r="J304" t="str">
        <f>TEXT(C304,"mmm-yyyy")</f>
        <v>Mar-2026</v>
      </c>
    </row>
    <row r="305" spans="1:10" x14ac:dyDescent="0.25">
      <c r="A305" t="s">
        <v>457</v>
      </c>
      <c r="B305" t="s">
        <v>1576</v>
      </c>
      <c r="C305" s="3">
        <v>46115</v>
      </c>
      <c r="D305" s="3">
        <v>46116</v>
      </c>
      <c r="E305" t="str">
        <f>IFERROR(VLOOKUP(B305,Assets_Master!A:E,5,FALSE),"Unknown")</f>
        <v>Cisco Systems</v>
      </c>
      <c r="F305" t="str">
        <f>IFERROR(VLOOKUP(B305,Assets_Master!A:J,10,FALSE),"Unknown")</f>
        <v>LATAM</v>
      </c>
      <c r="G305">
        <v>2</v>
      </c>
      <c r="H305">
        <f>IF(AND(C305&lt;&gt;"",D305&lt;&gt;""),NETWORKDAYS(C305,D305),0)</f>
        <v>1</v>
      </c>
      <c r="I305" t="str">
        <f>IF(H305&gt;G305,"YES","NO")</f>
        <v>NO</v>
      </c>
      <c r="J305" t="str">
        <f>TEXT(C305,"mmm-yyyy")</f>
        <v>Apr-2026</v>
      </c>
    </row>
    <row r="306" spans="1:10" x14ac:dyDescent="0.25">
      <c r="A306" t="s">
        <v>458</v>
      </c>
      <c r="B306" t="s">
        <v>873</v>
      </c>
      <c r="C306" s="3">
        <v>46113</v>
      </c>
      <c r="D306" s="3">
        <v>46114</v>
      </c>
      <c r="E306" t="str">
        <f>IFERROR(VLOOKUP(B306,Assets_Master!A:E,5,FALSE),"Unknown")</f>
        <v>Cisco Systems</v>
      </c>
      <c r="F306" t="str">
        <f>IFERROR(VLOOKUP(B306,Assets_Master!A:J,10,FALSE),"Unknown")</f>
        <v>LATAM</v>
      </c>
      <c r="G306">
        <v>2</v>
      </c>
      <c r="H306">
        <f>IF(AND(C306&lt;&gt;"",D306&lt;&gt;""),NETWORKDAYS(C306,D306),0)</f>
        <v>2</v>
      </c>
      <c r="I306" t="str">
        <f>IF(H306&gt;G306,"YES","NO")</f>
        <v>NO</v>
      </c>
      <c r="J306" t="str">
        <f>TEXT(C306,"mmm-yyyy")</f>
        <v>Apr-2026</v>
      </c>
    </row>
    <row r="307" spans="1:10" x14ac:dyDescent="0.25">
      <c r="A307" t="s">
        <v>459</v>
      </c>
      <c r="B307" t="s">
        <v>1676</v>
      </c>
      <c r="C307" s="3">
        <v>46110</v>
      </c>
      <c r="D307" s="3">
        <v>46112</v>
      </c>
      <c r="E307" t="str">
        <f>IFERROR(VLOOKUP(B307,Assets_Master!A:E,5,FALSE),"Unknown")</f>
        <v>Apple Enterprise</v>
      </c>
      <c r="F307" t="str">
        <f>IFERROR(VLOOKUP(B307,Assets_Master!A:J,10,FALSE),"Unknown")</f>
        <v>AMER</v>
      </c>
      <c r="G307">
        <v>2</v>
      </c>
      <c r="H307">
        <f>IF(AND(C307&lt;&gt;"",D307&lt;&gt;""),NETWORKDAYS(C307,D307),0)</f>
        <v>2</v>
      </c>
      <c r="I307" t="str">
        <f>IF(H307&gt;G307,"YES","NO")</f>
        <v>NO</v>
      </c>
      <c r="J307" t="str">
        <f>TEXT(C307,"mmm-yyyy")</f>
        <v>Mar-2026</v>
      </c>
    </row>
    <row r="308" spans="1:10" x14ac:dyDescent="0.25">
      <c r="A308" t="s">
        <v>460</v>
      </c>
      <c r="B308" t="s">
        <v>1648</v>
      </c>
      <c r="C308" s="3">
        <v>46096</v>
      </c>
      <c r="D308" s="3">
        <v>46097</v>
      </c>
      <c r="E308" t="str">
        <f>IFERROR(VLOOKUP(B308,Assets_Master!A:E,5,FALSE),"Unknown")</f>
        <v>Apple Enterprise</v>
      </c>
      <c r="F308" t="str">
        <f>IFERROR(VLOOKUP(B308,Assets_Master!A:J,10,FALSE),"Unknown")</f>
        <v>AMER</v>
      </c>
      <c r="G308">
        <v>2</v>
      </c>
      <c r="H308">
        <f>IF(AND(C308&lt;&gt;"",D308&lt;&gt;""),NETWORKDAYS(C308,D308),0)</f>
        <v>1</v>
      </c>
      <c r="I308" t="str">
        <f>IF(H308&gt;G308,"YES","NO")</f>
        <v>NO</v>
      </c>
      <c r="J308" t="str">
        <f>TEXT(C308,"mmm-yyyy")</f>
        <v>Mar-2026</v>
      </c>
    </row>
    <row r="309" spans="1:10" x14ac:dyDescent="0.25">
      <c r="A309" t="s">
        <v>461</v>
      </c>
      <c r="B309" t="s">
        <v>1158</v>
      </c>
      <c r="C309" s="3">
        <v>46108</v>
      </c>
      <c r="D309" s="3">
        <v>46109</v>
      </c>
      <c r="E309" t="str">
        <f>IFERROR(VLOOKUP(B309,Assets_Master!A:E,5,FALSE),"Unknown")</f>
        <v>Apple Enterprise</v>
      </c>
      <c r="F309" t="str">
        <f>IFERROR(VLOOKUP(B309,Assets_Master!A:J,10,FALSE),"Unknown")</f>
        <v>APAC</v>
      </c>
      <c r="G309">
        <v>2</v>
      </c>
      <c r="H309">
        <f>IF(AND(C309&lt;&gt;"",D309&lt;&gt;""),NETWORKDAYS(C309,D309),0)</f>
        <v>1</v>
      </c>
      <c r="I309" t="str">
        <f>IF(H309&gt;G309,"YES","NO")</f>
        <v>NO</v>
      </c>
      <c r="J309" t="str">
        <f>TEXT(C309,"mmm-yyyy")</f>
        <v>Mar-2026</v>
      </c>
    </row>
    <row r="310" spans="1:10" x14ac:dyDescent="0.25">
      <c r="A310" t="s">
        <v>462</v>
      </c>
      <c r="B310" t="s">
        <v>1392</v>
      </c>
      <c r="C310" s="3">
        <v>46105</v>
      </c>
      <c r="D310" s="3">
        <v>46106</v>
      </c>
      <c r="E310" t="str">
        <f>IFERROR(VLOOKUP(B310,Assets_Master!A:E,5,FALSE),"Unknown")</f>
        <v>Fujitsu</v>
      </c>
      <c r="F310" t="str">
        <f>IFERROR(VLOOKUP(B310,Assets_Master!A:J,10,FALSE),"Unknown")</f>
        <v>AMER</v>
      </c>
      <c r="G310">
        <v>2</v>
      </c>
      <c r="H310">
        <f>IF(AND(C310&lt;&gt;"",D310&lt;&gt;""),NETWORKDAYS(C310,D310),0)</f>
        <v>2</v>
      </c>
      <c r="I310" t="str">
        <f>IF(H310&gt;G310,"YES","NO")</f>
        <v>NO</v>
      </c>
      <c r="J310" t="str">
        <f>TEXT(C310,"mmm-yyyy")</f>
        <v>Mar-2026</v>
      </c>
    </row>
    <row r="311" spans="1:10" x14ac:dyDescent="0.25">
      <c r="A311" t="s">
        <v>463</v>
      </c>
      <c r="B311" t="s">
        <v>859</v>
      </c>
      <c r="C311" s="3">
        <v>46122</v>
      </c>
      <c r="D311" s="3">
        <v>46123</v>
      </c>
      <c r="E311" t="str">
        <f>IFERROR(VLOOKUP(B311,Assets_Master!A:E,5,FALSE),"Unknown")</f>
        <v>Fujitsu</v>
      </c>
      <c r="F311" t="str">
        <f>IFERROR(VLOOKUP(B311,Assets_Master!A:J,10,FALSE),"Unknown")</f>
        <v>AMER</v>
      </c>
      <c r="G311">
        <v>2</v>
      </c>
      <c r="H311">
        <f>IF(AND(C311&lt;&gt;"",D311&lt;&gt;""),NETWORKDAYS(C311,D311),0)</f>
        <v>1</v>
      </c>
      <c r="I311" t="str">
        <f>IF(H311&gt;G311,"YES","NO")</f>
        <v>NO</v>
      </c>
      <c r="J311" t="str">
        <f>TEXT(C311,"mmm-yyyy")</f>
        <v>Apr-2026</v>
      </c>
    </row>
    <row r="312" spans="1:10" x14ac:dyDescent="0.25">
      <c r="A312" t="s">
        <v>464</v>
      </c>
      <c r="B312" t="s">
        <v>649</v>
      </c>
      <c r="C312" s="3">
        <v>46110</v>
      </c>
      <c r="D312" s="3">
        <v>46112</v>
      </c>
      <c r="E312" t="str">
        <f>IFERROR(VLOOKUP(B312,Assets_Master!A:E,5,FALSE),"Unknown")</f>
        <v>Fujitsu</v>
      </c>
      <c r="F312" t="str">
        <f>IFERROR(VLOOKUP(B312,Assets_Master!A:J,10,FALSE),"Unknown")</f>
        <v>EMEA</v>
      </c>
      <c r="G312">
        <v>2</v>
      </c>
      <c r="H312">
        <f>IF(AND(C312&lt;&gt;"",D312&lt;&gt;""),NETWORKDAYS(C312,D312),0)</f>
        <v>2</v>
      </c>
      <c r="I312" t="str">
        <f>IF(H312&gt;G312,"YES","NO")</f>
        <v>NO</v>
      </c>
      <c r="J312" t="str">
        <f>TEXT(C312,"mmm-yyyy")</f>
        <v>Mar-2026</v>
      </c>
    </row>
    <row r="313" spans="1:10" x14ac:dyDescent="0.25">
      <c r="A313" t="s">
        <v>465</v>
      </c>
      <c r="B313" t="s">
        <v>1774</v>
      </c>
      <c r="C313" s="3">
        <v>46108</v>
      </c>
      <c r="D313" s="3">
        <v>46109</v>
      </c>
      <c r="E313" t="str">
        <f>IFERROR(VLOOKUP(B313,Assets_Master!A:E,5,FALSE),"Unknown")</f>
        <v>Cisco Systems</v>
      </c>
      <c r="F313" t="str">
        <f>IFERROR(VLOOKUP(B313,Assets_Master!A:J,10,FALSE),"Unknown")</f>
        <v>APAC</v>
      </c>
      <c r="G313">
        <v>2</v>
      </c>
      <c r="H313">
        <f>IF(AND(C313&lt;&gt;"",D313&lt;&gt;""),NETWORKDAYS(C313,D313),0)</f>
        <v>1</v>
      </c>
      <c r="I313" t="str">
        <f>IF(H313&gt;G313,"YES","NO")</f>
        <v>NO</v>
      </c>
      <c r="J313" t="str">
        <f>TEXT(C313,"mmm-yyyy")</f>
        <v>Mar-2026</v>
      </c>
    </row>
    <row r="314" spans="1:10" x14ac:dyDescent="0.25">
      <c r="A314" t="s">
        <v>466</v>
      </c>
      <c r="B314" t="s">
        <v>2031</v>
      </c>
      <c r="C314" s="3">
        <v>46120</v>
      </c>
      <c r="D314" s="3">
        <v>46122</v>
      </c>
      <c r="E314" t="str">
        <f>IFERROR(VLOOKUP(B314,Assets_Master!A:E,5,FALSE),"Unknown")</f>
        <v>Apple Enterprise</v>
      </c>
      <c r="F314" t="str">
        <f>IFERROR(VLOOKUP(B314,Assets_Master!A:J,10,FALSE),"Unknown")</f>
        <v>APAC</v>
      </c>
      <c r="G314">
        <v>2</v>
      </c>
      <c r="H314">
        <f>IF(AND(C314&lt;&gt;"",D314&lt;&gt;""),NETWORKDAYS(C314,D314),0)</f>
        <v>3</v>
      </c>
      <c r="I314" t="str">
        <f>IF(H314&gt;G314,"YES","NO")</f>
        <v>YES</v>
      </c>
      <c r="J314" t="str">
        <f>TEXT(C314,"mmm-yyyy")</f>
        <v>Apr-2026</v>
      </c>
    </row>
    <row r="315" spans="1:10" x14ac:dyDescent="0.25">
      <c r="A315" t="s">
        <v>467</v>
      </c>
      <c r="B315" t="s">
        <v>840</v>
      </c>
      <c r="C315" s="3">
        <v>46120</v>
      </c>
      <c r="D315" s="3">
        <v>46121</v>
      </c>
      <c r="E315" t="str">
        <f>IFERROR(VLOOKUP(B315,Assets_Master!A:E,5,FALSE),"Unknown")</f>
        <v>Cisco Systems</v>
      </c>
      <c r="F315" t="str">
        <f>IFERROR(VLOOKUP(B315,Assets_Master!A:J,10,FALSE),"Unknown")</f>
        <v>APAC</v>
      </c>
      <c r="G315">
        <v>2</v>
      </c>
      <c r="H315">
        <f>IF(AND(C315&lt;&gt;"",D315&lt;&gt;""),NETWORKDAYS(C315,D315),0)</f>
        <v>2</v>
      </c>
      <c r="I315" t="str">
        <f>IF(H315&gt;G315,"YES","NO")</f>
        <v>NO</v>
      </c>
      <c r="J315" t="str">
        <f>TEXT(C315,"mmm-yyyy")</f>
        <v>Apr-2026</v>
      </c>
    </row>
    <row r="316" spans="1:10" x14ac:dyDescent="0.25">
      <c r="A316" t="s">
        <v>468</v>
      </c>
      <c r="B316" t="s">
        <v>1941</v>
      </c>
      <c r="C316" s="3">
        <v>46110</v>
      </c>
      <c r="D316" s="3">
        <v>46112</v>
      </c>
      <c r="E316" t="str">
        <f>IFERROR(VLOOKUP(B316,Assets_Master!A:E,5,FALSE),"Unknown")</f>
        <v>Lenovo Pro</v>
      </c>
      <c r="F316" t="str">
        <f>IFERROR(VLOOKUP(B316,Assets_Master!A:J,10,FALSE),"Unknown")</f>
        <v>AMER</v>
      </c>
      <c r="G316">
        <v>2</v>
      </c>
      <c r="H316">
        <f>IF(AND(C316&lt;&gt;"",D316&lt;&gt;""),NETWORKDAYS(C316,D316),0)</f>
        <v>2</v>
      </c>
      <c r="I316" t="str">
        <f>IF(H316&gt;G316,"YES","NO")</f>
        <v>NO</v>
      </c>
      <c r="J316" t="str">
        <f>TEXT(C316,"mmm-yyyy")</f>
        <v>Mar-2026</v>
      </c>
    </row>
    <row r="317" spans="1:10" x14ac:dyDescent="0.25">
      <c r="A317" t="s">
        <v>469</v>
      </c>
      <c r="B317" t="s">
        <v>1035</v>
      </c>
      <c r="C317" s="3">
        <v>46118</v>
      </c>
      <c r="D317" s="3">
        <v>46120</v>
      </c>
      <c r="E317" t="str">
        <f>IFERROR(VLOOKUP(B317,Assets_Master!A:E,5,FALSE),"Unknown")</f>
        <v>Apple Enterprise</v>
      </c>
      <c r="F317" t="str">
        <f>IFERROR(VLOOKUP(B317,Assets_Master!A:J,10,FALSE),"Unknown")</f>
        <v>LATAM</v>
      </c>
      <c r="G317">
        <v>2</v>
      </c>
      <c r="H317">
        <f>IF(AND(C317&lt;&gt;"",D317&lt;&gt;""),NETWORKDAYS(C317,D317),0)</f>
        <v>3</v>
      </c>
      <c r="I317" t="str">
        <f>IF(H317&gt;G317,"YES","NO")</f>
        <v>YES</v>
      </c>
      <c r="J317" t="str">
        <f>TEXT(C317,"mmm-yyyy")</f>
        <v>Apr-2026</v>
      </c>
    </row>
    <row r="318" spans="1:10" x14ac:dyDescent="0.25">
      <c r="A318" t="s">
        <v>470</v>
      </c>
      <c r="B318" t="s">
        <v>980</v>
      </c>
      <c r="C318" s="3">
        <v>46116</v>
      </c>
      <c r="D318" s="3">
        <v>46118</v>
      </c>
      <c r="E318" t="str">
        <f>IFERROR(VLOOKUP(B318,Assets_Master!A:E,5,FALSE),"Unknown")</f>
        <v>Cisco Systems</v>
      </c>
      <c r="F318" t="str">
        <f>IFERROR(VLOOKUP(B318,Assets_Master!A:J,10,FALSE),"Unknown")</f>
        <v>LATAM</v>
      </c>
      <c r="G318">
        <v>2</v>
      </c>
      <c r="H318">
        <f>IF(AND(C318&lt;&gt;"",D318&lt;&gt;""),NETWORKDAYS(C318,D318),0)</f>
        <v>1</v>
      </c>
      <c r="I318" t="str">
        <f>IF(H318&gt;G318,"YES","NO")</f>
        <v>NO</v>
      </c>
      <c r="J318" t="str">
        <f>TEXT(C318,"mmm-yyyy")</f>
        <v>Apr-2026</v>
      </c>
    </row>
    <row r="319" spans="1:10" x14ac:dyDescent="0.25">
      <c r="A319" t="s">
        <v>471</v>
      </c>
      <c r="B319" t="s">
        <v>1923</v>
      </c>
      <c r="C319" s="3">
        <v>46116</v>
      </c>
      <c r="D319" s="3">
        <v>46117</v>
      </c>
      <c r="E319" t="str">
        <f>IFERROR(VLOOKUP(B319,Assets_Master!A:E,5,FALSE),"Unknown")</f>
        <v>Samsung IT</v>
      </c>
      <c r="F319" t="str">
        <f>IFERROR(VLOOKUP(B319,Assets_Master!A:J,10,FALSE),"Unknown")</f>
        <v>AMER</v>
      </c>
      <c r="G319">
        <v>2</v>
      </c>
      <c r="H319">
        <f>IF(AND(C319&lt;&gt;"",D319&lt;&gt;""),NETWORKDAYS(C319,D319),0)</f>
        <v>0</v>
      </c>
      <c r="I319" t="str">
        <f>IF(H319&gt;G319,"YES","NO")</f>
        <v>NO</v>
      </c>
      <c r="J319" t="str">
        <f>TEXT(C319,"mmm-yyyy")</f>
        <v>Apr-2026</v>
      </c>
    </row>
    <row r="320" spans="1:10" x14ac:dyDescent="0.25">
      <c r="A320" t="s">
        <v>472</v>
      </c>
      <c r="B320" t="s">
        <v>1959</v>
      </c>
      <c r="C320" s="3">
        <v>46101</v>
      </c>
      <c r="D320" s="3">
        <v>46102</v>
      </c>
      <c r="E320" t="str">
        <f>IFERROR(VLOOKUP(B320,Assets_Master!A:E,5,FALSE),"Unknown")</f>
        <v>Fujitsu</v>
      </c>
      <c r="F320" t="str">
        <f>IFERROR(VLOOKUP(B320,Assets_Master!A:J,10,FALSE),"Unknown")</f>
        <v>AMER</v>
      </c>
      <c r="G320">
        <v>2</v>
      </c>
      <c r="H320">
        <f>IF(AND(C320&lt;&gt;"",D320&lt;&gt;""),NETWORKDAYS(C320,D320),0)</f>
        <v>1</v>
      </c>
      <c r="I320" t="str">
        <f>IF(H320&gt;G320,"YES","NO")</f>
        <v>NO</v>
      </c>
      <c r="J320" t="str">
        <f>TEXT(C320,"mmm-yyyy")</f>
        <v>Mar-2026</v>
      </c>
    </row>
    <row r="321" spans="1:10" x14ac:dyDescent="0.25">
      <c r="A321" t="s">
        <v>473</v>
      </c>
      <c r="B321" t="s">
        <v>2017</v>
      </c>
      <c r="C321" s="3">
        <v>46109</v>
      </c>
      <c r="D321" s="3">
        <v>46110</v>
      </c>
      <c r="E321" t="str">
        <f>IFERROR(VLOOKUP(B321,Assets_Master!A:E,5,FALSE),"Unknown")</f>
        <v>Apple Enterprise</v>
      </c>
      <c r="F321" t="str">
        <f>IFERROR(VLOOKUP(B321,Assets_Master!A:J,10,FALSE),"Unknown")</f>
        <v>APAC</v>
      </c>
      <c r="G321">
        <v>2</v>
      </c>
      <c r="H321">
        <f>IF(AND(C321&lt;&gt;"",D321&lt;&gt;""),NETWORKDAYS(C321,D321),0)</f>
        <v>0</v>
      </c>
      <c r="I321" t="str">
        <f>IF(H321&gt;G321,"YES","NO")</f>
        <v>NO</v>
      </c>
      <c r="J321" t="str">
        <f>TEXT(C321,"mmm-yyyy")</f>
        <v>Mar-2026</v>
      </c>
    </row>
    <row r="322" spans="1:10" x14ac:dyDescent="0.25">
      <c r="A322" t="s">
        <v>474</v>
      </c>
      <c r="B322" t="s">
        <v>953</v>
      </c>
      <c r="C322" s="3">
        <v>46110</v>
      </c>
      <c r="D322" s="3">
        <v>46111</v>
      </c>
      <c r="E322" t="str">
        <f>IFERROR(VLOOKUP(B322,Assets_Master!A:E,5,FALSE),"Unknown")</f>
        <v>HP Inc</v>
      </c>
      <c r="F322" t="str">
        <f>IFERROR(VLOOKUP(B322,Assets_Master!A:J,10,FALSE),"Unknown")</f>
        <v>LATAM</v>
      </c>
      <c r="G322">
        <v>2</v>
      </c>
      <c r="H322">
        <f>IF(AND(C322&lt;&gt;"",D322&lt;&gt;""),NETWORKDAYS(C322,D322),0)</f>
        <v>1</v>
      </c>
      <c r="I322" t="str">
        <f>IF(H322&gt;G322,"YES","NO")</f>
        <v>NO</v>
      </c>
      <c r="J322" t="str">
        <f>TEXT(C322,"mmm-yyyy")</f>
        <v>Mar-2026</v>
      </c>
    </row>
    <row r="323" spans="1:10" x14ac:dyDescent="0.25">
      <c r="A323" t="s">
        <v>475</v>
      </c>
      <c r="B323" t="s">
        <v>1861</v>
      </c>
      <c r="C323" s="3">
        <v>46109</v>
      </c>
      <c r="D323" s="3">
        <v>46110</v>
      </c>
      <c r="E323" t="str">
        <f>IFERROR(VLOOKUP(B323,Assets_Master!A:E,5,FALSE),"Unknown")</f>
        <v>Lenovo Pro</v>
      </c>
      <c r="F323" t="str">
        <f>IFERROR(VLOOKUP(B323,Assets_Master!A:J,10,FALSE),"Unknown")</f>
        <v>APAC</v>
      </c>
      <c r="G323">
        <v>2</v>
      </c>
      <c r="H323">
        <f>IF(AND(C323&lt;&gt;"",D323&lt;&gt;""),NETWORKDAYS(C323,D323),0)</f>
        <v>0</v>
      </c>
      <c r="I323" t="str">
        <f>IF(H323&gt;G323,"YES","NO")</f>
        <v>NO</v>
      </c>
      <c r="J323" t="str">
        <f>TEXT(C323,"mmm-yyyy")</f>
        <v>Mar-2026</v>
      </c>
    </row>
    <row r="324" spans="1:10" x14ac:dyDescent="0.25">
      <c r="A324" t="s">
        <v>476</v>
      </c>
      <c r="B324" t="s">
        <v>1731</v>
      </c>
      <c r="C324" s="3">
        <v>46122</v>
      </c>
      <c r="D324" s="3">
        <v>46124</v>
      </c>
      <c r="E324" t="str">
        <f>IFERROR(VLOOKUP(B324,Assets_Master!A:E,5,FALSE),"Unknown")</f>
        <v>Dell Global</v>
      </c>
      <c r="F324" t="str">
        <f>IFERROR(VLOOKUP(B324,Assets_Master!A:J,10,FALSE),"Unknown")</f>
        <v>EMEA</v>
      </c>
      <c r="G324">
        <v>2</v>
      </c>
      <c r="H324">
        <f>IF(AND(C324&lt;&gt;"",D324&lt;&gt;""),NETWORKDAYS(C324,D324),0)</f>
        <v>1</v>
      </c>
      <c r="I324" t="str">
        <f>IF(H324&gt;G324,"YES","NO")</f>
        <v>NO</v>
      </c>
      <c r="J324" t="str">
        <f>TEXT(C324,"mmm-yyyy")</f>
        <v>Apr-2026</v>
      </c>
    </row>
    <row r="325" spans="1:10" x14ac:dyDescent="0.25">
      <c r="A325" t="s">
        <v>477</v>
      </c>
      <c r="B325" t="s">
        <v>1166</v>
      </c>
      <c r="C325" s="3">
        <v>46097</v>
      </c>
      <c r="D325" s="3">
        <v>46098</v>
      </c>
      <c r="E325" t="str">
        <f>IFERROR(VLOOKUP(B325,Assets_Master!A:E,5,FALSE),"Unknown")</f>
        <v>Lenovo Pro</v>
      </c>
      <c r="F325" t="str">
        <f>IFERROR(VLOOKUP(B325,Assets_Master!A:J,10,FALSE),"Unknown")</f>
        <v>LATAM</v>
      </c>
      <c r="G325">
        <v>2</v>
      </c>
      <c r="H325">
        <f>IF(AND(C325&lt;&gt;"",D325&lt;&gt;""),NETWORKDAYS(C325,D325),0)</f>
        <v>2</v>
      </c>
      <c r="I325" t="str">
        <f>IF(H325&gt;G325,"YES","NO")</f>
        <v>NO</v>
      </c>
      <c r="J325" t="str">
        <f>TEXT(C325,"mmm-yyyy")</f>
        <v>Mar-2026</v>
      </c>
    </row>
    <row r="326" spans="1:10" x14ac:dyDescent="0.25">
      <c r="A326" t="s">
        <v>478</v>
      </c>
      <c r="B326" t="s">
        <v>1432</v>
      </c>
      <c r="C326" s="3">
        <v>46114</v>
      </c>
      <c r="D326" s="3">
        <v>46116</v>
      </c>
      <c r="E326" t="str">
        <f>IFERROR(VLOOKUP(B326,Assets_Master!A:E,5,FALSE),"Unknown")</f>
        <v>Lenovo Pro</v>
      </c>
      <c r="F326" t="str">
        <f>IFERROR(VLOOKUP(B326,Assets_Master!A:J,10,FALSE),"Unknown")</f>
        <v>EMEA</v>
      </c>
      <c r="G326">
        <v>2</v>
      </c>
      <c r="H326">
        <f>IF(AND(C326&lt;&gt;"",D326&lt;&gt;""),NETWORKDAYS(C326,D326),0)</f>
        <v>2</v>
      </c>
      <c r="I326" t="str">
        <f>IF(H326&gt;G326,"YES","NO")</f>
        <v>NO</v>
      </c>
      <c r="J326" t="str">
        <f>TEXT(C326,"mmm-yyyy")</f>
        <v>Apr-2026</v>
      </c>
    </row>
    <row r="327" spans="1:10" x14ac:dyDescent="0.25">
      <c r="A327" t="s">
        <v>479</v>
      </c>
      <c r="B327" t="s">
        <v>128</v>
      </c>
      <c r="C327" s="3">
        <v>46111</v>
      </c>
      <c r="D327" s="3">
        <v>46112</v>
      </c>
      <c r="E327" t="str">
        <f>IFERROR(VLOOKUP(B327,Assets_Master!A:E,5,FALSE),"Unknown")</f>
        <v>Apple Enterprise</v>
      </c>
      <c r="F327" t="str">
        <f>IFERROR(VLOOKUP(B327,Assets_Master!A:J,10,FALSE),"Unknown")</f>
        <v>EMEA</v>
      </c>
      <c r="G327">
        <v>2</v>
      </c>
      <c r="H327">
        <f>IF(AND(C327&lt;&gt;"",D327&lt;&gt;""),NETWORKDAYS(C327,D327),0)</f>
        <v>2</v>
      </c>
      <c r="I327" t="str">
        <f>IF(H327&gt;G327,"YES","NO")</f>
        <v>NO</v>
      </c>
      <c r="J327" t="str">
        <f>TEXT(C327,"mmm-yyyy")</f>
        <v>Mar-2026</v>
      </c>
    </row>
    <row r="328" spans="1:10" x14ac:dyDescent="0.25">
      <c r="A328" t="s">
        <v>480</v>
      </c>
      <c r="B328" t="s">
        <v>1531</v>
      </c>
      <c r="C328" s="3">
        <v>46104</v>
      </c>
      <c r="D328" s="3">
        <v>46105</v>
      </c>
      <c r="E328" t="str">
        <f>IFERROR(VLOOKUP(B328,Assets_Master!A:E,5,FALSE),"Unknown")</f>
        <v>Cisco Systems</v>
      </c>
      <c r="F328" t="str">
        <f>IFERROR(VLOOKUP(B328,Assets_Master!A:J,10,FALSE),"Unknown")</f>
        <v>APAC</v>
      </c>
      <c r="G328">
        <v>2</v>
      </c>
      <c r="H328">
        <f>IF(AND(C328&lt;&gt;"",D328&lt;&gt;""),NETWORKDAYS(C328,D328),0)</f>
        <v>2</v>
      </c>
      <c r="I328" t="str">
        <f>IF(H328&gt;G328,"YES","NO")</f>
        <v>NO</v>
      </c>
      <c r="J328" t="str">
        <f>TEXT(C328,"mmm-yyyy")</f>
        <v>Mar-2026</v>
      </c>
    </row>
    <row r="329" spans="1:10" x14ac:dyDescent="0.25">
      <c r="A329" t="s">
        <v>481</v>
      </c>
      <c r="B329" t="s">
        <v>1204</v>
      </c>
      <c r="C329" s="3">
        <v>46120</v>
      </c>
      <c r="D329" s="3">
        <v>46121</v>
      </c>
      <c r="E329" t="str">
        <f>IFERROR(VLOOKUP(B329,Assets_Master!A:E,5,FALSE),"Unknown")</f>
        <v>Dell Global</v>
      </c>
      <c r="F329" t="str">
        <f>IFERROR(VLOOKUP(B329,Assets_Master!A:J,10,FALSE),"Unknown")</f>
        <v>AMER</v>
      </c>
      <c r="G329">
        <v>2</v>
      </c>
      <c r="H329">
        <f>IF(AND(C329&lt;&gt;"",D329&lt;&gt;""),NETWORKDAYS(C329,D329),0)</f>
        <v>2</v>
      </c>
      <c r="I329" t="str">
        <f>IF(H329&gt;G329,"YES","NO")</f>
        <v>NO</v>
      </c>
      <c r="J329" t="str">
        <f>TEXT(C329,"mmm-yyyy")</f>
        <v>Apr-2026</v>
      </c>
    </row>
    <row r="330" spans="1:10" x14ac:dyDescent="0.25">
      <c r="A330" t="s">
        <v>482</v>
      </c>
      <c r="B330" t="s">
        <v>574</v>
      </c>
      <c r="C330" s="3">
        <v>46105</v>
      </c>
      <c r="D330" s="3">
        <v>46107</v>
      </c>
      <c r="E330" t="str">
        <f>IFERROR(VLOOKUP(B330,Assets_Master!A:E,5,FALSE),"Unknown")</f>
        <v>Lenovo Pro</v>
      </c>
      <c r="F330" t="str">
        <f>IFERROR(VLOOKUP(B330,Assets_Master!A:J,10,FALSE),"Unknown")</f>
        <v>APAC</v>
      </c>
      <c r="G330">
        <v>2</v>
      </c>
      <c r="H330">
        <f>IF(AND(C330&lt;&gt;"",D330&lt;&gt;""),NETWORKDAYS(C330,D330),0)</f>
        <v>3</v>
      </c>
      <c r="I330" t="str">
        <f>IF(H330&gt;G330,"YES","NO")</f>
        <v>YES</v>
      </c>
      <c r="J330" t="str">
        <f>TEXT(C330,"mmm-yyyy")</f>
        <v>Mar-2026</v>
      </c>
    </row>
    <row r="331" spans="1:10" x14ac:dyDescent="0.25">
      <c r="A331" t="s">
        <v>483</v>
      </c>
      <c r="B331" t="s">
        <v>1644</v>
      </c>
      <c r="C331" s="3">
        <v>46102</v>
      </c>
      <c r="D331" s="3">
        <v>46104</v>
      </c>
      <c r="E331" t="str">
        <f>IFERROR(VLOOKUP(B331,Assets_Master!A:E,5,FALSE),"Unknown")</f>
        <v>Apple Enterprise</v>
      </c>
      <c r="F331" t="str">
        <f>IFERROR(VLOOKUP(B331,Assets_Master!A:J,10,FALSE),"Unknown")</f>
        <v>APAC</v>
      </c>
      <c r="G331">
        <v>2</v>
      </c>
      <c r="H331">
        <f>IF(AND(C331&lt;&gt;"",D331&lt;&gt;""),NETWORKDAYS(C331,D331),0)</f>
        <v>1</v>
      </c>
      <c r="I331" t="str">
        <f>IF(H331&gt;G331,"YES","NO")</f>
        <v>NO</v>
      </c>
      <c r="J331" t="str">
        <f>TEXT(C331,"mmm-yyyy")</f>
        <v>Mar-2026</v>
      </c>
    </row>
    <row r="332" spans="1:10" x14ac:dyDescent="0.25">
      <c r="A332" t="s">
        <v>484</v>
      </c>
      <c r="B332" t="s">
        <v>1171</v>
      </c>
      <c r="C332" s="3">
        <v>46095</v>
      </c>
      <c r="D332" s="3">
        <v>46097</v>
      </c>
      <c r="E332" t="str">
        <f>IFERROR(VLOOKUP(B332,Assets_Master!A:E,5,FALSE),"Unknown")</f>
        <v>Apple Enterprise</v>
      </c>
      <c r="F332" t="str">
        <f>IFERROR(VLOOKUP(B332,Assets_Master!A:J,10,FALSE),"Unknown")</f>
        <v>EMEA</v>
      </c>
      <c r="G332">
        <v>2</v>
      </c>
      <c r="H332">
        <f>IF(AND(C332&lt;&gt;"",D332&lt;&gt;""),NETWORKDAYS(C332,D332),0)</f>
        <v>1</v>
      </c>
      <c r="I332" t="str">
        <f>IF(H332&gt;G332,"YES","NO")</f>
        <v>NO</v>
      </c>
      <c r="J332" t="str">
        <f>TEXT(C332,"mmm-yyyy")</f>
        <v>Mar-2026</v>
      </c>
    </row>
    <row r="333" spans="1:10" x14ac:dyDescent="0.25">
      <c r="A333" t="s">
        <v>485</v>
      </c>
      <c r="B333" t="s">
        <v>1092</v>
      </c>
      <c r="C333" s="3">
        <v>46120</v>
      </c>
      <c r="D333" s="3">
        <v>46122</v>
      </c>
      <c r="E333" t="str">
        <f>IFERROR(VLOOKUP(B333,Assets_Master!A:E,5,FALSE),"Unknown")</f>
        <v>HP Inc</v>
      </c>
      <c r="F333" t="str">
        <f>IFERROR(VLOOKUP(B333,Assets_Master!A:J,10,FALSE),"Unknown")</f>
        <v>AMER</v>
      </c>
      <c r="G333">
        <v>2</v>
      </c>
      <c r="H333">
        <f>IF(AND(C333&lt;&gt;"",D333&lt;&gt;""),NETWORKDAYS(C333,D333),0)</f>
        <v>3</v>
      </c>
      <c r="I333" t="str">
        <f>IF(H333&gt;G333,"YES","NO")</f>
        <v>YES</v>
      </c>
      <c r="J333" t="str">
        <f>TEXT(C333,"mmm-yyyy")</f>
        <v>Apr-2026</v>
      </c>
    </row>
    <row r="334" spans="1:10" x14ac:dyDescent="0.25">
      <c r="A334" t="s">
        <v>486</v>
      </c>
      <c r="B334" t="s">
        <v>760</v>
      </c>
      <c r="C334" s="3">
        <v>46100</v>
      </c>
      <c r="D334" s="3">
        <v>46102</v>
      </c>
      <c r="E334" t="str">
        <f>IFERROR(VLOOKUP(B334,Assets_Master!A:E,5,FALSE),"Unknown")</f>
        <v>Dell Global</v>
      </c>
      <c r="F334" t="str">
        <f>IFERROR(VLOOKUP(B334,Assets_Master!A:J,10,FALSE),"Unknown")</f>
        <v>LATAM</v>
      </c>
      <c r="G334">
        <v>2</v>
      </c>
      <c r="H334">
        <f>IF(AND(C334&lt;&gt;"",D334&lt;&gt;""),NETWORKDAYS(C334,D334),0)</f>
        <v>2</v>
      </c>
      <c r="I334" t="str">
        <f>IF(H334&gt;G334,"YES","NO")</f>
        <v>NO</v>
      </c>
      <c r="J334" t="str">
        <f>TEXT(C334,"mmm-yyyy")</f>
        <v>Mar-2026</v>
      </c>
    </row>
    <row r="335" spans="1:10" x14ac:dyDescent="0.25">
      <c r="A335" t="s">
        <v>487</v>
      </c>
      <c r="B335" t="s">
        <v>834</v>
      </c>
      <c r="C335" s="3">
        <v>46107</v>
      </c>
      <c r="D335" s="3">
        <v>46109</v>
      </c>
      <c r="E335" t="str">
        <f>IFERROR(VLOOKUP(B335,Assets_Master!A:E,5,FALSE),"Unknown")</f>
        <v>Samsung IT</v>
      </c>
      <c r="F335" t="str">
        <f>IFERROR(VLOOKUP(B335,Assets_Master!A:J,10,FALSE),"Unknown")</f>
        <v>EMEA</v>
      </c>
      <c r="G335">
        <v>2</v>
      </c>
      <c r="H335">
        <f>IF(AND(C335&lt;&gt;"",D335&lt;&gt;""),NETWORKDAYS(C335,D335),0)</f>
        <v>2</v>
      </c>
      <c r="I335" t="str">
        <f>IF(H335&gt;G335,"YES","NO")</f>
        <v>NO</v>
      </c>
      <c r="J335" t="str">
        <f>TEXT(C335,"mmm-yyyy")</f>
        <v>Mar-2026</v>
      </c>
    </row>
    <row r="336" spans="1:10" x14ac:dyDescent="0.25">
      <c r="A336" t="s">
        <v>488</v>
      </c>
      <c r="B336" t="s">
        <v>2006</v>
      </c>
      <c r="C336" s="3">
        <v>46097</v>
      </c>
      <c r="D336" s="3">
        <v>46098</v>
      </c>
      <c r="E336" t="str">
        <f>IFERROR(VLOOKUP(B336,Assets_Master!A:E,5,FALSE),"Unknown")</f>
        <v>Apple Enterprise</v>
      </c>
      <c r="F336" t="str">
        <f>IFERROR(VLOOKUP(B336,Assets_Master!A:J,10,FALSE),"Unknown")</f>
        <v>EMEA</v>
      </c>
      <c r="G336">
        <v>2</v>
      </c>
      <c r="H336">
        <f>IF(AND(C336&lt;&gt;"",D336&lt;&gt;""),NETWORKDAYS(C336,D336),0)</f>
        <v>2</v>
      </c>
      <c r="I336" t="str">
        <f>IF(H336&gt;G336,"YES","NO")</f>
        <v>NO</v>
      </c>
      <c r="J336" t="str">
        <f>TEXT(C336,"mmm-yyyy")</f>
        <v>Mar-2026</v>
      </c>
    </row>
    <row r="337" spans="1:10" x14ac:dyDescent="0.25">
      <c r="A337" t="s">
        <v>489</v>
      </c>
      <c r="B337" t="s">
        <v>1398</v>
      </c>
      <c r="C337" s="3">
        <v>46114</v>
      </c>
      <c r="D337" s="3">
        <v>46115</v>
      </c>
      <c r="E337" t="str">
        <f>IFERROR(VLOOKUP(B337,Assets_Master!A:E,5,FALSE),"Unknown")</f>
        <v>Apple Enterprise</v>
      </c>
      <c r="F337" t="str">
        <f>IFERROR(VLOOKUP(B337,Assets_Master!A:J,10,FALSE),"Unknown")</f>
        <v>AMER</v>
      </c>
      <c r="G337">
        <v>2</v>
      </c>
      <c r="H337">
        <f>IF(AND(C337&lt;&gt;"",D337&lt;&gt;""),NETWORKDAYS(C337,D337),0)</f>
        <v>2</v>
      </c>
      <c r="I337" t="str">
        <f>IF(H337&gt;G337,"YES","NO")</f>
        <v>NO</v>
      </c>
      <c r="J337" t="str">
        <f>TEXT(C337,"mmm-yyyy")</f>
        <v>Apr-2026</v>
      </c>
    </row>
    <row r="338" spans="1:10" x14ac:dyDescent="0.25">
      <c r="A338" t="s">
        <v>490</v>
      </c>
      <c r="B338" t="s">
        <v>1304</v>
      </c>
      <c r="C338" s="3">
        <v>46108</v>
      </c>
      <c r="D338" s="3">
        <v>46110</v>
      </c>
      <c r="E338" t="str">
        <f>IFERROR(VLOOKUP(B338,Assets_Master!A:E,5,FALSE),"Unknown")</f>
        <v>Lenovo Pro</v>
      </c>
      <c r="F338" t="str">
        <f>IFERROR(VLOOKUP(B338,Assets_Master!A:J,10,FALSE),"Unknown")</f>
        <v>APAC</v>
      </c>
      <c r="G338">
        <v>2</v>
      </c>
      <c r="H338">
        <f>IF(AND(C338&lt;&gt;"",D338&lt;&gt;""),NETWORKDAYS(C338,D338),0)</f>
        <v>1</v>
      </c>
      <c r="I338" t="str">
        <f>IF(H338&gt;G338,"YES","NO")</f>
        <v>NO</v>
      </c>
      <c r="J338" t="str">
        <f>TEXT(C338,"mmm-yyyy")</f>
        <v>Mar-2026</v>
      </c>
    </row>
    <row r="339" spans="1:10" x14ac:dyDescent="0.25">
      <c r="A339" t="s">
        <v>491</v>
      </c>
      <c r="B339" t="s">
        <v>1505</v>
      </c>
      <c r="C339" s="3">
        <v>46109</v>
      </c>
      <c r="D339" s="3">
        <v>46110</v>
      </c>
      <c r="E339" t="str">
        <f>IFERROR(VLOOKUP(B339,Assets_Master!A:E,5,FALSE),"Unknown")</f>
        <v>HP Inc</v>
      </c>
      <c r="F339" t="str">
        <f>IFERROR(VLOOKUP(B339,Assets_Master!A:J,10,FALSE),"Unknown")</f>
        <v>LATAM</v>
      </c>
      <c r="G339">
        <v>2</v>
      </c>
      <c r="H339">
        <f>IF(AND(C339&lt;&gt;"",D339&lt;&gt;""),NETWORKDAYS(C339,D339),0)</f>
        <v>0</v>
      </c>
      <c r="I339" t="str">
        <f>IF(H339&gt;G339,"YES","NO")</f>
        <v>NO</v>
      </c>
      <c r="J339" t="str">
        <f>TEXT(C339,"mmm-yyyy")</f>
        <v>Mar-2026</v>
      </c>
    </row>
    <row r="340" spans="1:10" x14ac:dyDescent="0.25">
      <c r="A340" t="s">
        <v>492</v>
      </c>
      <c r="B340" t="s">
        <v>1116</v>
      </c>
      <c r="C340" s="3">
        <v>46100</v>
      </c>
      <c r="D340" s="3">
        <v>46102</v>
      </c>
      <c r="E340" t="str">
        <f>IFERROR(VLOOKUP(B340,Assets_Master!A:E,5,FALSE),"Unknown")</f>
        <v>Fujitsu</v>
      </c>
      <c r="F340" t="str">
        <f>IFERROR(VLOOKUP(B340,Assets_Master!A:J,10,FALSE),"Unknown")</f>
        <v>AMER</v>
      </c>
      <c r="G340">
        <v>2</v>
      </c>
      <c r="H340">
        <f>IF(AND(C340&lt;&gt;"",D340&lt;&gt;""),NETWORKDAYS(C340,D340),0)</f>
        <v>2</v>
      </c>
      <c r="I340" t="str">
        <f>IF(H340&gt;G340,"YES","NO")</f>
        <v>NO</v>
      </c>
      <c r="J340" t="str">
        <f>TEXT(C340,"mmm-yyyy")</f>
        <v>Mar-2026</v>
      </c>
    </row>
    <row r="341" spans="1:10" x14ac:dyDescent="0.25">
      <c r="A341" t="s">
        <v>493</v>
      </c>
      <c r="B341" t="s">
        <v>1830</v>
      </c>
      <c r="C341" s="3">
        <v>46120</v>
      </c>
      <c r="D341" s="3">
        <v>46121</v>
      </c>
      <c r="E341" t="str">
        <f>IFERROR(VLOOKUP(B341,Assets_Master!A:E,5,FALSE),"Unknown")</f>
        <v>Samsung IT</v>
      </c>
      <c r="F341" t="str">
        <f>IFERROR(VLOOKUP(B341,Assets_Master!A:J,10,FALSE),"Unknown")</f>
        <v>AMER</v>
      </c>
      <c r="G341">
        <v>2</v>
      </c>
      <c r="H341">
        <f>IF(AND(C341&lt;&gt;"",D341&lt;&gt;""),NETWORKDAYS(C341,D341),0)</f>
        <v>2</v>
      </c>
      <c r="I341" t="str">
        <f>IF(H341&gt;G341,"YES","NO")</f>
        <v>NO</v>
      </c>
      <c r="J341" t="str">
        <f>TEXT(C341,"mmm-yyyy")</f>
        <v>Apr-2026</v>
      </c>
    </row>
    <row r="342" spans="1:10" x14ac:dyDescent="0.25">
      <c r="A342" t="s">
        <v>494</v>
      </c>
      <c r="B342" t="s">
        <v>913</v>
      </c>
      <c r="C342" s="3">
        <v>46099</v>
      </c>
      <c r="D342" s="3">
        <v>46101</v>
      </c>
      <c r="E342" t="str">
        <f>IFERROR(VLOOKUP(B342,Assets_Master!A:E,5,FALSE),"Unknown")</f>
        <v>Lenovo Pro</v>
      </c>
      <c r="F342" t="str">
        <f>IFERROR(VLOOKUP(B342,Assets_Master!A:J,10,FALSE),"Unknown")</f>
        <v>LATAM</v>
      </c>
      <c r="G342">
        <v>2</v>
      </c>
      <c r="H342">
        <f>IF(AND(C342&lt;&gt;"",D342&lt;&gt;""),NETWORKDAYS(C342,D342),0)</f>
        <v>3</v>
      </c>
      <c r="I342" t="str">
        <f>IF(H342&gt;G342,"YES","NO")</f>
        <v>YES</v>
      </c>
      <c r="J342" t="str">
        <f>TEXT(C342,"mmm-yyyy")</f>
        <v>Mar-2026</v>
      </c>
    </row>
    <row r="343" spans="1:10" x14ac:dyDescent="0.25">
      <c r="A343" t="s">
        <v>495</v>
      </c>
      <c r="B343" t="s">
        <v>1845</v>
      </c>
      <c r="C343" s="3">
        <v>46102</v>
      </c>
      <c r="D343" s="3">
        <v>46104</v>
      </c>
      <c r="E343" t="str">
        <f>IFERROR(VLOOKUP(B343,Assets_Master!A:E,5,FALSE),"Unknown")</f>
        <v>Cisco Systems</v>
      </c>
      <c r="F343" t="str">
        <f>IFERROR(VLOOKUP(B343,Assets_Master!A:J,10,FALSE),"Unknown")</f>
        <v>LATAM</v>
      </c>
      <c r="G343">
        <v>2</v>
      </c>
      <c r="H343">
        <f>IF(AND(C343&lt;&gt;"",D343&lt;&gt;""),NETWORKDAYS(C343,D343),0)</f>
        <v>1</v>
      </c>
      <c r="I343" t="str">
        <f>IF(H343&gt;G343,"YES","NO")</f>
        <v>NO</v>
      </c>
      <c r="J343" t="str">
        <f>TEXT(C343,"mmm-yyyy")</f>
        <v>Mar-2026</v>
      </c>
    </row>
    <row r="344" spans="1:10" x14ac:dyDescent="0.25">
      <c r="A344" t="s">
        <v>496</v>
      </c>
      <c r="B344" t="s">
        <v>870</v>
      </c>
      <c r="C344" s="3">
        <v>46112</v>
      </c>
      <c r="D344" s="3">
        <v>46113</v>
      </c>
      <c r="E344" t="str">
        <f>IFERROR(VLOOKUP(B344,Assets_Master!A:E,5,FALSE),"Unknown")</f>
        <v>Dell Global</v>
      </c>
      <c r="F344" t="str">
        <f>IFERROR(VLOOKUP(B344,Assets_Master!A:J,10,FALSE),"Unknown")</f>
        <v>EMEA</v>
      </c>
      <c r="G344">
        <v>2</v>
      </c>
      <c r="H344">
        <f>IF(AND(C344&lt;&gt;"",D344&lt;&gt;""),NETWORKDAYS(C344,D344),0)</f>
        <v>2</v>
      </c>
      <c r="I344" t="str">
        <f>IF(H344&gt;G344,"YES","NO")</f>
        <v>NO</v>
      </c>
      <c r="J344" t="str">
        <f>TEXT(C344,"mmm-yyyy")</f>
        <v>Mar-2026</v>
      </c>
    </row>
    <row r="345" spans="1:10" x14ac:dyDescent="0.25">
      <c r="A345" t="s">
        <v>497</v>
      </c>
      <c r="B345" t="s">
        <v>1728</v>
      </c>
      <c r="C345" s="3">
        <v>46105</v>
      </c>
      <c r="D345" s="3">
        <v>46107</v>
      </c>
      <c r="E345" t="str">
        <f>IFERROR(VLOOKUP(B345,Assets_Master!A:E,5,FALSE),"Unknown")</f>
        <v>Apple Enterprise</v>
      </c>
      <c r="F345" t="str">
        <f>IFERROR(VLOOKUP(B345,Assets_Master!A:J,10,FALSE),"Unknown")</f>
        <v>APAC</v>
      </c>
      <c r="G345">
        <v>2</v>
      </c>
      <c r="H345">
        <f>IF(AND(C345&lt;&gt;"",D345&lt;&gt;""),NETWORKDAYS(C345,D345),0)</f>
        <v>3</v>
      </c>
      <c r="I345" t="str">
        <f>IF(H345&gt;G345,"YES","NO")</f>
        <v>YES</v>
      </c>
      <c r="J345" t="str">
        <f>TEXT(C345,"mmm-yyyy")</f>
        <v>Mar-2026</v>
      </c>
    </row>
    <row r="346" spans="1:10" x14ac:dyDescent="0.25">
      <c r="A346" t="s">
        <v>498</v>
      </c>
      <c r="B346" t="s">
        <v>988</v>
      </c>
      <c r="C346" s="3">
        <v>46120</v>
      </c>
      <c r="D346" s="3">
        <v>46122</v>
      </c>
      <c r="E346" t="str">
        <f>IFERROR(VLOOKUP(B346,Assets_Master!A:E,5,FALSE),"Unknown")</f>
        <v>HP Inc</v>
      </c>
      <c r="F346" t="str">
        <f>IFERROR(VLOOKUP(B346,Assets_Master!A:J,10,FALSE),"Unknown")</f>
        <v>APAC</v>
      </c>
      <c r="G346">
        <v>2</v>
      </c>
      <c r="H346">
        <f>IF(AND(C346&lt;&gt;"",D346&lt;&gt;""),NETWORKDAYS(C346,D346),0)</f>
        <v>3</v>
      </c>
      <c r="I346" t="str">
        <f>IF(H346&gt;G346,"YES","NO")</f>
        <v>YES</v>
      </c>
      <c r="J346" t="str">
        <f>TEXT(C346,"mmm-yyyy")</f>
        <v>Apr-2026</v>
      </c>
    </row>
    <row r="347" spans="1:10" x14ac:dyDescent="0.25">
      <c r="A347" t="s">
        <v>499</v>
      </c>
      <c r="B347" t="s">
        <v>579</v>
      </c>
      <c r="C347" s="3">
        <v>46114</v>
      </c>
      <c r="D347" s="3">
        <v>46115</v>
      </c>
      <c r="E347" t="str">
        <f>IFERROR(VLOOKUP(B347,Assets_Master!A:E,5,FALSE),"Unknown")</f>
        <v>Apple Enterprise</v>
      </c>
      <c r="F347" t="str">
        <f>IFERROR(VLOOKUP(B347,Assets_Master!A:J,10,FALSE),"Unknown")</f>
        <v>EMEA</v>
      </c>
      <c r="G347">
        <v>2</v>
      </c>
      <c r="H347">
        <f>IF(AND(C347&lt;&gt;"",D347&lt;&gt;""),NETWORKDAYS(C347,D347),0)</f>
        <v>2</v>
      </c>
      <c r="I347" t="str">
        <f>IF(H347&gt;G347,"YES","NO")</f>
        <v>NO</v>
      </c>
      <c r="J347" t="str">
        <f>TEXT(C347,"mmm-yyyy")</f>
        <v>Apr-2026</v>
      </c>
    </row>
    <row r="348" spans="1:10" x14ac:dyDescent="0.25">
      <c r="A348" t="s">
        <v>500</v>
      </c>
      <c r="B348" t="s">
        <v>1054</v>
      </c>
      <c r="C348" s="3">
        <v>46120</v>
      </c>
      <c r="D348" s="3">
        <v>46121</v>
      </c>
      <c r="E348" t="str">
        <f>IFERROR(VLOOKUP(B348,Assets_Master!A:E,5,FALSE),"Unknown")</f>
        <v>Cisco Systems</v>
      </c>
      <c r="F348" t="str">
        <f>IFERROR(VLOOKUP(B348,Assets_Master!A:J,10,FALSE),"Unknown")</f>
        <v>AMER</v>
      </c>
      <c r="G348">
        <v>2</v>
      </c>
      <c r="H348">
        <f>IF(AND(C348&lt;&gt;"",D348&lt;&gt;""),NETWORKDAYS(C348,D348),0)</f>
        <v>2</v>
      </c>
      <c r="I348" t="str">
        <f>IF(H348&gt;G348,"YES","NO")</f>
        <v>NO</v>
      </c>
      <c r="J348" t="str">
        <f>TEXT(C348,"mmm-yyyy")</f>
        <v>Apr-2026</v>
      </c>
    </row>
    <row r="349" spans="1:10" x14ac:dyDescent="0.25">
      <c r="A349" t="s">
        <v>501</v>
      </c>
      <c r="B349" t="s">
        <v>1077</v>
      </c>
      <c r="C349" s="3">
        <v>46109</v>
      </c>
      <c r="D349" s="3">
        <v>46111</v>
      </c>
      <c r="E349" t="str">
        <f>IFERROR(VLOOKUP(B349,Assets_Master!A:E,5,FALSE),"Unknown")</f>
        <v>Cisco Systems</v>
      </c>
      <c r="F349" t="str">
        <f>IFERROR(VLOOKUP(B349,Assets_Master!A:J,10,FALSE),"Unknown")</f>
        <v>AMER</v>
      </c>
      <c r="G349">
        <v>2</v>
      </c>
      <c r="H349">
        <f>IF(AND(C349&lt;&gt;"",D349&lt;&gt;""),NETWORKDAYS(C349,D349),0)</f>
        <v>1</v>
      </c>
      <c r="I349" t="str">
        <f>IF(H349&gt;G349,"YES","NO")</f>
        <v>NO</v>
      </c>
      <c r="J349" t="str">
        <f>TEXT(C349,"mmm-yyyy")</f>
        <v>Mar-2026</v>
      </c>
    </row>
    <row r="350" spans="1:10" x14ac:dyDescent="0.25">
      <c r="A350" t="s">
        <v>502</v>
      </c>
      <c r="B350" t="s">
        <v>1618</v>
      </c>
      <c r="C350" s="3">
        <v>46107</v>
      </c>
      <c r="D350" s="3">
        <v>46109</v>
      </c>
      <c r="E350" t="str">
        <f>IFERROR(VLOOKUP(B350,Assets_Master!A:E,5,FALSE),"Unknown")</f>
        <v>Samsung IT</v>
      </c>
      <c r="F350" t="str">
        <f>IFERROR(VLOOKUP(B350,Assets_Master!A:J,10,FALSE),"Unknown")</f>
        <v>LATAM</v>
      </c>
      <c r="G350">
        <v>2</v>
      </c>
      <c r="H350">
        <f>IF(AND(C350&lt;&gt;"",D350&lt;&gt;""),NETWORKDAYS(C350,D350),0)</f>
        <v>2</v>
      </c>
      <c r="I350" t="str">
        <f>IF(H350&gt;G350,"YES","NO")</f>
        <v>NO</v>
      </c>
      <c r="J350" t="str">
        <f>TEXT(C350,"mmm-yyyy")</f>
        <v>Mar-2026</v>
      </c>
    </row>
    <row r="351" spans="1:10" x14ac:dyDescent="0.25">
      <c r="A351" t="s">
        <v>503</v>
      </c>
      <c r="B351" t="s">
        <v>1522</v>
      </c>
      <c r="C351" s="3">
        <v>46101</v>
      </c>
      <c r="D351" s="3">
        <v>46103</v>
      </c>
      <c r="E351" t="str">
        <f>IFERROR(VLOOKUP(B351,Assets_Master!A:E,5,FALSE),"Unknown")</f>
        <v>Samsung IT</v>
      </c>
      <c r="F351" t="str">
        <f>IFERROR(VLOOKUP(B351,Assets_Master!A:J,10,FALSE),"Unknown")</f>
        <v>AMER</v>
      </c>
      <c r="G351">
        <v>2</v>
      </c>
      <c r="H351">
        <f>IF(AND(C351&lt;&gt;"",D351&lt;&gt;""),NETWORKDAYS(C351,D351),0)</f>
        <v>1</v>
      </c>
      <c r="I351" t="str">
        <f>IF(H351&gt;G351,"YES","NO")</f>
        <v>NO</v>
      </c>
      <c r="J351" t="str">
        <f>TEXT(C351,"mmm-yyyy")</f>
        <v>Mar-2026</v>
      </c>
    </row>
    <row r="352" spans="1:10" x14ac:dyDescent="0.25">
      <c r="A352" t="s">
        <v>504</v>
      </c>
      <c r="B352" t="s">
        <v>829</v>
      </c>
      <c r="C352" s="3">
        <v>46101</v>
      </c>
      <c r="D352" s="3">
        <v>46103</v>
      </c>
      <c r="E352" t="str">
        <f>IFERROR(VLOOKUP(B352,Assets_Master!A:E,5,FALSE),"Unknown")</f>
        <v>Cisco Systems</v>
      </c>
      <c r="F352" t="str">
        <f>IFERROR(VLOOKUP(B352,Assets_Master!A:J,10,FALSE),"Unknown")</f>
        <v>LATAM</v>
      </c>
      <c r="G352">
        <v>2</v>
      </c>
      <c r="H352">
        <f>IF(AND(C352&lt;&gt;"",D352&lt;&gt;""),NETWORKDAYS(C352,D352),0)</f>
        <v>1</v>
      </c>
      <c r="I352" t="str">
        <f>IF(H352&gt;G352,"YES","NO")</f>
        <v>NO</v>
      </c>
      <c r="J352" t="str">
        <f>TEXT(C352,"mmm-yyyy")</f>
        <v>Mar-2026</v>
      </c>
    </row>
    <row r="353" spans="1:10" x14ac:dyDescent="0.25">
      <c r="A353" t="s">
        <v>505</v>
      </c>
      <c r="B353" t="s">
        <v>1724</v>
      </c>
      <c r="C353" s="3">
        <v>46111</v>
      </c>
      <c r="D353" s="3">
        <v>46113</v>
      </c>
      <c r="E353" t="str">
        <f>IFERROR(VLOOKUP(B353,Assets_Master!A:E,5,FALSE),"Unknown")</f>
        <v>Samsung IT</v>
      </c>
      <c r="F353" t="str">
        <f>IFERROR(VLOOKUP(B353,Assets_Master!A:J,10,FALSE),"Unknown")</f>
        <v>APAC</v>
      </c>
      <c r="G353">
        <v>2</v>
      </c>
      <c r="H353">
        <f>IF(AND(C353&lt;&gt;"",D353&lt;&gt;""),NETWORKDAYS(C353,D353),0)</f>
        <v>3</v>
      </c>
      <c r="I353" t="str">
        <f>IF(H353&gt;G353,"YES","NO")</f>
        <v>YES</v>
      </c>
      <c r="J353" t="str">
        <f>TEXT(C353,"mmm-yyyy")</f>
        <v>Mar-2026</v>
      </c>
    </row>
    <row r="354" spans="1:10" x14ac:dyDescent="0.25">
      <c r="A354" t="s">
        <v>506</v>
      </c>
      <c r="B354" t="s">
        <v>1769</v>
      </c>
      <c r="C354" s="3">
        <v>46096</v>
      </c>
      <c r="D354" s="3">
        <v>46097</v>
      </c>
      <c r="E354" t="str">
        <f>IFERROR(VLOOKUP(B354,Assets_Master!A:E,5,FALSE),"Unknown")</f>
        <v>HP Inc</v>
      </c>
      <c r="F354" t="str">
        <f>IFERROR(VLOOKUP(B354,Assets_Master!A:J,10,FALSE),"Unknown")</f>
        <v>LATAM</v>
      </c>
      <c r="G354">
        <v>2</v>
      </c>
      <c r="H354">
        <f>IF(AND(C354&lt;&gt;"",D354&lt;&gt;""),NETWORKDAYS(C354,D354),0)</f>
        <v>1</v>
      </c>
      <c r="I354" t="str">
        <f>IF(H354&gt;G354,"YES","NO")</f>
        <v>NO</v>
      </c>
      <c r="J354" t="str">
        <f>TEXT(C354,"mmm-yyyy")</f>
        <v>Mar-2026</v>
      </c>
    </row>
    <row r="355" spans="1:10" x14ac:dyDescent="0.25">
      <c r="A355" t="s">
        <v>507</v>
      </c>
      <c r="B355" t="s">
        <v>1280</v>
      </c>
      <c r="C355" s="3">
        <v>46122</v>
      </c>
      <c r="D355" s="3">
        <v>46124</v>
      </c>
      <c r="E355" t="str">
        <f>IFERROR(VLOOKUP(B355,Assets_Master!A:E,5,FALSE),"Unknown")</f>
        <v>Cisco Systems</v>
      </c>
      <c r="F355" t="str">
        <f>IFERROR(VLOOKUP(B355,Assets_Master!A:J,10,FALSE),"Unknown")</f>
        <v>AMER</v>
      </c>
      <c r="G355">
        <v>2</v>
      </c>
      <c r="H355">
        <f>IF(AND(C355&lt;&gt;"",D355&lt;&gt;""),NETWORKDAYS(C355,D355),0)</f>
        <v>1</v>
      </c>
      <c r="I355" t="str">
        <f>IF(H355&gt;G355,"YES","NO")</f>
        <v>NO</v>
      </c>
      <c r="J355" t="str">
        <f>TEXT(C355,"mmm-yyyy")</f>
        <v>Apr-2026</v>
      </c>
    </row>
    <row r="356" spans="1:10" x14ac:dyDescent="0.25">
      <c r="A356" t="s">
        <v>508</v>
      </c>
      <c r="B356" t="s">
        <v>1204</v>
      </c>
      <c r="C356" s="3">
        <v>46122</v>
      </c>
      <c r="D356" s="3">
        <v>46123</v>
      </c>
      <c r="E356" t="str">
        <f>IFERROR(VLOOKUP(B356,Assets_Master!A:E,5,FALSE),"Unknown")</f>
        <v>Dell Global</v>
      </c>
      <c r="F356" t="str">
        <f>IFERROR(VLOOKUP(B356,Assets_Master!A:J,10,FALSE),"Unknown")</f>
        <v>AMER</v>
      </c>
      <c r="G356">
        <v>2</v>
      </c>
      <c r="H356">
        <f>IF(AND(C356&lt;&gt;"",D356&lt;&gt;""),NETWORKDAYS(C356,D356),0)</f>
        <v>1</v>
      </c>
      <c r="I356" t="str">
        <f>IF(H356&gt;G356,"YES","NO")</f>
        <v>NO</v>
      </c>
      <c r="J356" t="str">
        <f>TEXT(C356,"mmm-yyyy")</f>
        <v>Apr-2026</v>
      </c>
    </row>
    <row r="357" spans="1:10" x14ac:dyDescent="0.25">
      <c r="A357" t="s">
        <v>509</v>
      </c>
      <c r="B357" t="s">
        <v>749</v>
      </c>
      <c r="C357" s="3">
        <v>46109</v>
      </c>
      <c r="D357" s="3">
        <v>46110</v>
      </c>
      <c r="E357" t="str">
        <f>IFERROR(VLOOKUP(B357,Assets_Master!A:E,5,FALSE),"Unknown")</f>
        <v>Fujitsu</v>
      </c>
      <c r="F357" t="str">
        <f>IFERROR(VLOOKUP(B357,Assets_Master!A:J,10,FALSE),"Unknown")</f>
        <v>AMER</v>
      </c>
      <c r="G357">
        <v>2</v>
      </c>
      <c r="H357">
        <f>IF(AND(C357&lt;&gt;"",D357&lt;&gt;""),NETWORKDAYS(C357,D357),0)</f>
        <v>0</v>
      </c>
      <c r="I357" t="str">
        <f>IF(H357&gt;G357,"YES","NO")</f>
        <v>NO</v>
      </c>
      <c r="J357" t="str">
        <f>TEXT(C357,"mmm-yyyy")</f>
        <v>Mar-2026</v>
      </c>
    </row>
    <row r="358" spans="1:10" x14ac:dyDescent="0.25">
      <c r="A358" t="s">
        <v>510</v>
      </c>
      <c r="B358" t="s">
        <v>1108</v>
      </c>
      <c r="C358" s="3">
        <v>46113</v>
      </c>
      <c r="D358" s="3">
        <v>46115</v>
      </c>
      <c r="E358" t="str">
        <f>IFERROR(VLOOKUP(B358,Assets_Master!A:E,5,FALSE),"Unknown")</f>
        <v>Lenovo Pro</v>
      </c>
      <c r="F358" t="str">
        <f>IFERROR(VLOOKUP(B358,Assets_Master!A:J,10,FALSE),"Unknown")</f>
        <v>LATAM</v>
      </c>
      <c r="G358">
        <v>2</v>
      </c>
      <c r="H358">
        <f>IF(AND(C358&lt;&gt;"",D358&lt;&gt;""),NETWORKDAYS(C358,D358),0)</f>
        <v>3</v>
      </c>
      <c r="I358" t="str">
        <f>IF(H358&gt;G358,"YES","NO")</f>
        <v>YES</v>
      </c>
      <c r="J358" t="str">
        <f>TEXT(C358,"mmm-yyyy")</f>
        <v>Apr-2026</v>
      </c>
    </row>
    <row r="359" spans="1:10" x14ac:dyDescent="0.25">
      <c r="A359" t="s">
        <v>511</v>
      </c>
      <c r="B359" t="s">
        <v>1986</v>
      </c>
      <c r="C359" s="3">
        <v>46107</v>
      </c>
      <c r="D359" s="3">
        <v>46109</v>
      </c>
      <c r="E359" t="str">
        <f>IFERROR(VLOOKUP(B359,Assets_Master!A:E,5,FALSE),"Unknown")</f>
        <v>Apple Enterprise</v>
      </c>
      <c r="F359" t="str">
        <f>IFERROR(VLOOKUP(B359,Assets_Master!A:J,10,FALSE),"Unknown")</f>
        <v>EMEA</v>
      </c>
      <c r="G359">
        <v>2</v>
      </c>
      <c r="H359">
        <f>IF(AND(C359&lt;&gt;"",D359&lt;&gt;""),NETWORKDAYS(C359,D359),0)</f>
        <v>2</v>
      </c>
      <c r="I359" t="str">
        <f>IF(H359&gt;G359,"YES","NO")</f>
        <v>NO</v>
      </c>
      <c r="J359" t="str">
        <f>TEXT(C359,"mmm-yyyy")</f>
        <v>Mar-2026</v>
      </c>
    </row>
    <row r="360" spans="1:10" x14ac:dyDescent="0.25">
      <c r="A360" t="s">
        <v>512</v>
      </c>
      <c r="B360" t="s">
        <v>808</v>
      </c>
      <c r="C360" s="3">
        <v>46098</v>
      </c>
      <c r="D360" s="3">
        <v>46100</v>
      </c>
      <c r="E360" t="str">
        <f>IFERROR(VLOOKUP(B360,Assets_Master!A:E,5,FALSE),"Unknown")</f>
        <v>Apple Enterprise</v>
      </c>
      <c r="F360" t="str">
        <f>IFERROR(VLOOKUP(B360,Assets_Master!A:J,10,FALSE),"Unknown")</f>
        <v>AMER</v>
      </c>
      <c r="G360">
        <v>2</v>
      </c>
      <c r="H360">
        <f>IF(AND(C360&lt;&gt;"",D360&lt;&gt;""),NETWORKDAYS(C360,D360),0)</f>
        <v>3</v>
      </c>
      <c r="I360" t="str">
        <f>IF(H360&gt;G360,"YES","NO")</f>
        <v>YES</v>
      </c>
      <c r="J360" t="str">
        <f>TEXT(C360,"mmm-yyyy")</f>
        <v>Mar-2026</v>
      </c>
    </row>
    <row r="361" spans="1:10" x14ac:dyDescent="0.25">
      <c r="A361" t="s">
        <v>513</v>
      </c>
      <c r="B361" t="s">
        <v>697</v>
      </c>
      <c r="C361" s="3">
        <v>46100</v>
      </c>
      <c r="D361" s="3">
        <v>46102</v>
      </c>
      <c r="E361" t="str">
        <f>IFERROR(VLOOKUP(B361,Assets_Master!A:E,5,FALSE),"Unknown")</f>
        <v>Fujitsu</v>
      </c>
      <c r="F361" t="str">
        <f>IFERROR(VLOOKUP(B361,Assets_Master!A:J,10,FALSE),"Unknown")</f>
        <v>APAC</v>
      </c>
      <c r="G361">
        <v>2</v>
      </c>
      <c r="H361">
        <f>IF(AND(C361&lt;&gt;"",D361&lt;&gt;""),NETWORKDAYS(C361,D361),0)</f>
        <v>2</v>
      </c>
      <c r="I361" t="str">
        <f>IF(H361&gt;G361,"YES","NO")</f>
        <v>NO</v>
      </c>
      <c r="J361" t="str">
        <f>TEXT(C361,"mmm-yyyy")</f>
        <v>Mar-2026</v>
      </c>
    </row>
    <row r="362" spans="1:10" x14ac:dyDescent="0.25">
      <c r="A362" t="s">
        <v>514</v>
      </c>
      <c r="B362" t="s">
        <v>854</v>
      </c>
      <c r="C362" s="3">
        <v>46106</v>
      </c>
      <c r="D362" s="3">
        <v>46108</v>
      </c>
      <c r="E362" t="str">
        <f>IFERROR(VLOOKUP(B362,Assets_Master!A:E,5,FALSE),"Unknown")</f>
        <v>Cisco Systems</v>
      </c>
      <c r="F362" t="str">
        <f>IFERROR(VLOOKUP(B362,Assets_Master!A:J,10,FALSE),"Unknown")</f>
        <v>AMER</v>
      </c>
      <c r="G362">
        <v>2</v>
      </c>
      <c r="H362">
        <f>IF(AND(C362&lt;&gt;"",D362&lt;&gt;""),NETWORKDAYS(C362,D362),0)</f>
        <v>3</v>
      </c>
      <c r="I362" t="str">
        <f>IF(H362&gt;G362,"YES","NO")</f>
        <v>YES</v>
      </c>
      <c r="J362" t="str">
        <f>TEXT(C362,"mmm-yyyy")</f>
        <v>Mar-2026</v>
      </c>
    </row>
    <row r="363" spans="1:10" x14ac:dyDescent="0.25">
      <c r="A363" t="s">
        <v>515</v>
      </c>
      <c r="B363" t="s">
        <v>639</v>
      </c>
      <c r="C363" s="3">
        <v>46107</v>
      </c>
      <c r="D363" s="3">
        <v>46109</v>
      </c>
      <c r="E363" t="str">
        <f>IFERROR(VLOOKUP(B363,Assets_Master!A:E,5,FALSE),"Unknown")</f>
        <v>Dell Global</v>
      </c>
      <c r="F363" t="str">
        <f>IFERROR(VLOOKUP(B363,Assets_Master!A:J,10,FALSE),"Unknown")</f>
        <v>LATAM</v>
      </c>
      <c r="G363">
        <v>2</v>
      </c>
      <c r="H363">
        <f>IF(AND(C363&lt;&gt;"",D363&lt;&gt;""),NETWORKDAYS(C363,D363),0)</f>
        <v>2</v>
      </c>
      <c r="I363" t="str">
        <f>IF(H363&gt;G363,"YES","NO")</f>
        <v>NO</v>
      </c>
      <c r="J363" t="str">
        <f>TEXT(C363,"mmm-yyyy")</f>
        <v>Mar-2026</v>
      </c>
    </row>
    <row r="364" spans="1:10" x14ac:dyDescent="0.25">
      <c r="A364" t="s">
        <v>516</v>
      </c>
      <c r="B364" t="s">
        <v>1793</v>
      </c>
      <c r="C364" s="3">
        <v>46109</v>
      </c>
      <c r="D364" s="3">
        <v>46110</v>
      </c>
      <c r="E364" t="str">
        <f>IFERROR(VLOOKUP(B364,Assets_Master!A:E,5,FALSE),"Unknown")</f>
        <v>Dell Global</v>
      </c>
      <c r="F364" t="str">
        <f>IFERROR(VLOOKUP(B364,Assets_Master!A:J,10,FALSE),"Unknown")</f>
        <v>EMEA</v>
      </c>
      <c r="G364">
        <v>2</v>
      </c>
      <c r="H364">
        <f>IF(AND(C364&lt;&gt;"",D364&lt;&gt;""),NETWORKDAYS(C364,D364),0)</f>
        <v>0</v>
      </c>
      <c r="I364" t="str">
        <f>IF(H364&gt;G364,"YES","NO")</f>
        <v>NO</v>
      </c>
      <c r="J364" t="str">
        <f>TEXT(C364,"mmm-yyyy")</f>
        <v>Mar-2026</v>
      </c>
    </row>
    <row r="365" spans="1:10" x14ac:dyDescent="0.25">
      <c r="A365" t="s">
        <v>517</v>
      </c>
      <c r="B365" t="s">
        <v>837</v>
      </c>
      <c r="C365" s="3">
        <v>46104</v>
      </c>
      <c r="D365" s="3">
        <v>46105</v>
      </c>
      <c r="E365" t="str">
        <f>IFERROR(VLOOKUP(B365,Assets_Master!A:E,5,FALSE),"Unknown")</f>
        <v>Dell Global</v>
      </c>
      <c r="F365" t="str">
        <f>IFERROR(VLOOKUP(B365,Assets_Master!A:J,10,FALSE),"Unknown")</f>
        <v>LATAM</v>
      </c>
      <c r="G365">
        <v>2</v>
      </c>
      <c r="H365">
        <f>IF(AND(C365&lt;&gt;"",D365&lt;&gt;""),NETWORKDAYS(C365,D365),0)</f>
        <v>2</v>
      </c>
      <c r="I365" t="str">
        <f>IF(H365&gt;G365,"YES","NO")</f>
        <v>NO</v>
      </c>
      <c r="J365" t="str">
        <f>TEXT(C365,"mmm-yyyy")</f>
        <v>Mar-2026</v>
      </c>
    </row>
    <row r="366" spans="1:10" x14ac:dyDescent="0.25">
      <c r="A366" t="s">
        <v>518</v>
      </c>
      <c r="B366" t="s">
        <v>867</v>
      </c>
      <c r="C366" s="3">
        <v>46112</v>
      </c>
      <c r="D366" s="3">
        <v>46113</v>
      </c>
      <c r="E366" t="str">
        <f>IFERROR(VLOOKUP(B366,Assets_Master!A:E,5,FALSE),"Unknown")</f>
        <v>HP Inc</v>
      </c>
      <c r="F366" t="str">
        <f>IFERROR(VLOOKUP(B366,Assets_Master!A:J,10,FALSE),"Unknown")</f>
        <v>APAC</v>
      </c>
      <c r="G366">
        <v>2</v>
      </c>
      <c r="H366">
        <f>IF(AND(C366&lt;&gt;"",D366&lt;&gt;""),NETWORKDAYS(C366,D366),0)</f>
        <v>2</v>
      </c>
      <c r="I366" t="str">
        <f>IF(H366&gt;G366,"YES","NO")</f>
        <v>NO</v>
      </c>
      <c r="J366" t="str">
        <f>TEXT(C366,"mmm-yyyy")</f>
        <v>Mar-2026</v>
      </c>
    </row>
    <row r="367" spans="1:10" x14ac:dyDescent="0.25">
      <c r="A367" t="s">
        <v>519</v>
      </c>
      <c r="B367" t="s">
        <v>127</v>
      </c>
      <c r="C367" s="3">
        <v>46103</v>
      </c>
      <c r="D367" s="3">
        <v>46105</v>
      </c>
      <c r="E367" t="str">
        <f>IFERROR(VLOOKUP(B367,Assets_Master!A:E,5,FALSE),"Unknown")</f>
        <v>HP Inc</v>
      </c>
      <c r="F367" t="str">
        <f>IFERROR(VLOOKUP(B367,Assets_Master!A:J,10,FALSE),"Unknown")</f>
        <v>LATAM</v>
      </c>
      <c r="G367">
        <v>2</v>
      </c>
      <c r="H367">
        <f>IF(AND(C367&lt;&gt;"",D367&lt;&gt;""),NETWORKDAYS(C367,D367),0)</f>
        <v>2</v>
      </c>
      <c r="I367" t="str">
        <f>IF(H367&gt;G367,"YES","NO")</f>
        <v>NO</v>
      </c>
      <c r="J367" t="str">
        <f>TEXT(C367,"mmm-yyyy")</f>
        <v>Mar-2026</v>
      </c>
    </row>
    <row r="368" spans="1:10" x14ac:dyDescent="0.25">
      <c r="A368" t="s">
        <v>520</v>
      </c>
      <c r="B368" t="s">
        <v>791</v>
      </c>
      <c r="C368" s="3">
        <v>46117</v>
      </c>
      <c r="D368" s="3">
        <v>46118</v>
      </c>
      <c r="E368" t="str">
        <f>IFERROR(VLOOKUP(B368,Assets_Master!A:E,5,FALSE),"Unknown")</f>
        <v>HP Inc</v>
      </c>
      <c r="F368" t="str">
        <f>IFERROR(VLOOKUP(B368,Assets_Master!A:J,10,FALSE),"Unknown")</f>
        <v>LATAM</v>
      </c>
      <c r="G368">
        <v>2</v>
      </c>
      <c r="H368">
        <f>IF(AND(C368&lt;&gt;"",D368&lt;&gt;""),NETWORKDAYS(C368,D368),0)</f>
        <v>1</v>
      </c>
      <c r="I368" t="str">
        <f>IF(H368&gt;G368,"YES","NO")</f>
        <v>NO</v>
      </c>
      <c r="J368" t="str">
        <f>TEXT(C368,"mmm-yyyy")</f>
        <v>Apr-2026</v>
      </c>
    </row>
    <row r="369" spans="1:10" x14ac:dyDescent="0.25">
      <c r="A369" t="s">
        <v>521</v>
      </c>
      <c r="B369" t="s">
        <v>1190</v>
      </c>
      <c r="C369" s="3">
        <v>46102</v>
      </c>
      <c r="D369" s="3">
        <v>46103</v>
      </c>
      <c r="E369" t="str">
        <f>IFERROR(VLOOKUP(B369,Assets_Master!A:E,5,FALSE),"Unknown")</f>
        <v>Cisco Systems</v>
      </c>
      <c r="F369" t="str">
        <f>IFERROR(VLOOKUP(B369,Assets_Master!A:J,10,FALSE),"Unknown")</f>
        <v>AMER</v>
      </c>
      <c r="G369">
        <v>2</v>
      </c>
      <c r="H369">
        <f>IF(AND(C369&lt;&gt;"",D369&lt;&gt;""),NETWORKDAYS(C369,D369),0)</f>
        <v>0</v>
      </c>
      <c r="I369" t="str">
        <f>IF(H369&gt;G369,"YES","NO")</f>
        <v>NO</v>
      </c>
      <c r="J369" t="str">
        <f>TEXT(C369,"mmm-yyyy")</f>
        <v>Mar-2026</v>
      </c>
    </row>
    <row r="370" spans="1:10" x14ac:dyDescent="0.25">
      <c r="A370" t="s">
        <v>522</v>
      </c>
      <c r="B370" t="s">
        <v>1133</v>
      </c>
      <c r="C370" s="3">
        <v>46115</v>
      </c>
      <c r="D370" s="3">
        <v>46116</v>
      </c>
      <c r="E370" t="str">
        <f>IFERROR(VLOOKUP(B370,Assets_Master!A:E,5,FALSE),"Unknown")</f>
        <v>Dell Global</v>
      </c>
      <c r="F370" t="str">
        <f>IFERROR(VLOOKUP(B370,Assets_Master!A:J,10,FALSE),"Unknown")</f>
        <v>APAC</v>
      </c>
      <c r="G370">
        <v>2</v>
      </c>
      <c r="H370">
        <f>IF(AND(C370&lt;&gt;"",D370&lt;&gt;""),NETWORKDAYS(C370,D370),0)</f>
        <v>1</v>
      </c>
      <c r="I370" t="str">
        <f>IF(H370&gt;G370,"YES","NO")</f>
        <v>NO</v>
      </c>
      <c r="J370" t="str">
        <f>TEXT(C370,"mmm-yyyy")</f>
        <v>Apr-2026</v>
      </c>
    </row>
    <row r="371" spans="1:10" x14ac:dyDescent="0.25">
      <c r="A371" t="s">
        <v>523</v>
      </c>
      <c r="B371" t="s">
        <v>799</v>
      </c>
      <c r="C371" s="3">
        <v>46095</v>
      </c>
      <c r="D371" s="3">
        <v>46096</v>
      </c>
      <c r="E371" t="str">
        <f>IFERROR(VLOOKUP(B371,Assets_Master!A:E,5,FALSE),"Unknown")</f>
        <v>Lenovo Pro</v>
      </c>
      <c r="F371" t="str">
        <f>IFERROR(VLOOKUP(B371,Assets_Master!A:J,10,FALSE),"Unknown")</f>
        <v>EMEA</v>
      </c>
      <c r="G371">
        <v>2</v>
      </c>
      <c r="H371">
        <f>IF(AND(C371&lt;&gt;"",D371&lt;&gt;""),NETWORKDAYS(C371,D371),0)</f>
        <v>0</v>
      </c>
      <c r="I371" t="str">
        <f>IF(H371&gt;G371,"YES","NO")</f>
        <v>NO</v>
      </c>
      <c r="J371" t="str">
        <f>TEXT(C371,"mmm-yyyy")</f>
        <v>Mar-2026</v>
      </c>
    </row>
    <row r="372" spans="1:10" x14ac:dyDescent="0.25">
      <c r="A372" t="s">
        <v>524</v>
      </c>
      <c r="B372" t="s">
        <v>1012</v>
      </c>
      <c r="C372" s="3">
        <v>46095</v>
      </c>
      <c r="D372" s="3">
        <v>46096</v>
      </c>
      <c r="E372" t="str">
        <f>IFERROR(VLOOKUP(B372,Assets_Master!A:E,5,FALSE),"Unknown")</f>
        <v>Apple Enterprise</v>
      </c>
      <c r="F372" t="str">
        <f>IFERROR(VLOOKUP(B372,Assets_Master!A:J,10,FALSE),"Unknown")</f>
        <v>AMER</v>
      </c>
      <c r="G372">
        <v>2</v>
      </c>
      <c r="H372">
        <f>IF(AND(C372&lt;&gt;"",D372&lt;&gt;""),NETWORKDAYS(C372,D372),0)</f>
        <v>0</v>
      </c>
      <c r="I372" t="str">
        <f>IF(H372&gt;G372,"YES","NO")</f>
        <v>NO</v>
      </c>
      <c r="J372" t="str">
        <f>TEXT(C372,"mmm-yyyy")</f>
        <v>Mar-2026</v>
      </c>
    </row>
    <row r="373" spans="1:10" x14ac:dyDescent="0.25">
      <c r="A373" t="s">
        <v>525</v>
      </c>
      <c r="B373" t="s">
        <v>1395</v>
      </c>
      <c r="C373" s="3">
        <v>46112</v>
      </c>
      <c r="D373" s="3">
        <v>46114</v>
      </c>
      <c r="E373" t="str">
        <f>IFERROR(VLOOKUP(B373,Assets_Master!A:E,5,FALSE),"Unknown")</f>
        <v>Apple Enterprise</v>
      </c>
      <c r="F373" t="str">
        <f>IFERROR(VLOOKUP(B373,Assets_Master!A:J,10,FALSE),"Unknown")</f>
        <v>LATAM</v>
      </c>
      <c r="G373">
        <v>2</v>
      </c>
      <c r="H373">
        <f>IF(AND(C373&lt;&gt;"",D373&lt;&gt;""),NETWORKDAYS(C373,D373),0)</f>
        <v>3</v>
      </c>
      <c r="I373" t="str">
        <f>IF(H373&gt;G373,"YES","NO")</f>
        <v>YES</v>
      </c>
      <c r="J373" t="str">
        <f>TEXT(C373,"mmm-yyyy")</f>
        <v>Mar-2026</v>
      </c>
    </row>
    <row r="374" spans="1:10" x14ac:dyDescent="0.25">
      <c r="A374" t="s">
        <v>526</v>
      </c>
      <c r="B374" t="s">
        <v>890</v>
      </c>
      <c r="C374" s="3">
        <v>46115</v>
      </c>
      <c r="D374" s="3">
        <v>46116</v>
      </c>
      <c r="E374" t="str">
        <f>IFERROR(VLOOKUP(B374,Assets_Master!A:E,5,FALSE),"Unknown")</f>
        <v>Dell Global</v>
      </c>
      <c r="F374" t="str">
        <f>IFERROR(VLOOKUP(B374,Assets_Master!A:J,10,FALSE),"Unknown")</f>
        <v>LATAM</v>
      </c>
      <c r="G374">
        <v>2</v>
      </c>
      <c r="H374">
        <f>IF(AND(C374&lt;&gt;"",D374&lt;&gt;""),NETWORKDAYS(C374,D374),0)</f>
        <v>1</v>
      </c>
      <c r="I374" t="str">
        <f>IF(H374&gt;G374,"YES","NO")</f>
        <v>NO</v>
      </c>
      <c r="J374" t="str">
        <f>TEXT(C374,"mmm-yyyy")</f>
        <v>Apr-2026</v>
      </c>
    </row>
    <row r="375" spans="1:10" x14ac:dyDescent="0.25">
      <c r="A375" t="s">
        <v>527</v>
      </c>
      <c r="B375" t="s">
        <v>936</v>
      </c>
      <c r="C375" s="3">
        <v>46099</v>
      </c>
      <c r="D375" s="3">
        <v>46100</v>
      </c>
      <c r="E375" t="str">
        <f>IFERROR(VLOOKUP(B375,Assets_Master!A:E,5,FALSE),"Unknown")</f>
        <v>Apple Enterprise</v>
      </c>
      <c r="F375" t="str">
        <f>IFERROR(VLOOKUP(B375,Assets_Master!A:J,10,FALSE),"Unknown")</f>
        <v>EMEA</v>
      </c>
      <c r="G375">
        <v>2</v>
      </c>
      <c r="H375">
        <f>IF(AND(C375&lt;&gt;"",D375&lt;&gt;""),NETWORKDAYS(C375,D375),0)</f>
        <v>2</v>
      </c>
      <c r="I375" t="str">
        <f>IF(H375&gt;G375,"YES","NO")</f>
        <v>NO</v>
      </c>
      <c r="J375" t="str">
        <f>TEXT(C375,"mmm-yyyy")</f>
        <v>Mar-2026</v>
      </c>
    </row>
    <row r="376" spans="1:10" x14ac:dyDescent="0.25">
      <c r="A376" t="s">
        <v>528</v>
      </c>
      <c r="B376" t="s">
        <v>1133</v>
      </c>
      <c r="C376" s="3">
        <v>46107</v>
      </c>
      <c r="D376" s="3">
        <v>46109</v>
      </c>
      <c r="E376" t="str">
        <f>IFERROR(VLOOKUP(B376,Assets_Master!A:E,5,FALSE),"Unknown")</f>
        <v>Dell Global</v>
      </c>
      <c r="F376" t="str">
        <f>IFERROR(VLOOKUP(B376,Assets_Master!A:J,10,FALSE),"Unknown")</f>
        <v>APAC</v>
      </c>
      <c r="G376">
        <v>2</v>
      </c>
      <c r="H376">
        <f>IF(AND(C376&lt;&gt;"",D376&lt;&gt;""),NETWORKDAYS(C376,D376),0)</f>
        <v>2</v>
      </c>
      <c r="I376" t="str">
        <f>IF(H376&gt;G376,"YES","NO")</f>
        <v>NO</v>
      </c>
      <c r="J376" t="str">
        <f>TEXT(C376,"mmm-yyyy")</f>
        <v>Mar-2026</v>
      </c>
    </row>
    <row r="377" spans="1:10" x14ac:dyDescent="0.25">
      <c r="A377" t="s">
        <v>529</v>
      </c>
      <c r="B377" t="s">
        <v>1328</v>
      </c>
      <c r="C377" s="3">
        <v>46103</v>
      </c>
      <c r="D377" s="3">
        <v>46105</v>
      </c>
      <c r="E377" t="str">
        <f>IFERROR(VLOOKUP(B377,Assets_Master!A:E,5,FALSE),"Unknown")</f>
        <v>Cisco Systems</v>
      </c>
      <c r="F377" t="str">
        <f>IFERROR(VLOOKUP(B377,Assets_Master!A:J,10,FALSE),"Unknown")</f>
        <v>AMER</v>
      </c>
      <c r="G377">
        <v>2</v>
      </c>
      <c r="H377">
        <f>IF(AND(C377&lt;&gt;"",D377&lt;&gt;""),NETWORKDAYS(C377,D377),0)</f>
        <v>2</v>
      </c>
      <c r="I377" t="str">
        <f>IF(H377&gt;G377,"YES","NO")</f>
        <v>NO</v>
      </c>
      <c r="J377" t="str">
        <f>TEXT(C377,"mmm-yyyy")</f>
        <v>Mar-2026</v>
      </c>
    </row>
    <row r="378" spans="1:10" x14ac:dyDescent="0.25">
      <c r="A378" t="s">
        <v>530</v>
      </c>
      <c r="B378" t="s">
        <v>867</v>
      </c>
      <c r="C378" s="3">
        <v>46115</v>
      </c>
      <c r="D378" s="3">
        <v>46116</v>
      </c>
      <c r="E378" t="str">
        <f>IFERROR(VLOOKUP(B378,Assets_Master!A:E,5,FALSE),"Unknown")</f>
        <v>HP Inc</v>
      </c>
      <c r="F378" t="str">
        <f>IFERROR(VLOOKUP(B378,Assets_Master!A:J,10,FALSE),"Unknown")</f>
        <v>APAC</v>
      </c>
      <c r="G378">
        <v>2</v>
      </c>
      <c r="H378">
        <f>IF(AND(C378&lt;&gt;"",D378&lt;&gt;""),NETWORKDAYS(C378,D378),0)</f>
        <v>1</v>
      </c>
      <c r="I378" t="str">
        <f>IF(H378&gt;G378,"YES","NO")</f>
        <v>NO</v>
      </c>
      <c r="J378" t="str">
        <f>TEXT(C378,"mmm-yyyy")</f>
        <v>Apr-2026</v>
      </c>
    </row>
    <row r="379" spans="1:10" x14ac:dyDescent="0.25">
      <c r="A379" t="s">
        <v>531</v>
      </c>
      <c r="B379" t="s">
        <v>1749</v>
      </c>
      <c r="C379" s="3">
        <v>46112</v>
      </c>
      <c r="D379" s="3">
        <v>46114</v>
      </c>
      <c r="E379" t="str">
        <f>IFERROR(VLOOKUP(B379,Assets_Master!A:E,5,FALSE),"Unknown")</f>
        <v>Apple Enterprise</v>
      </c>
      <c r="F379" t="str">
        <f>IFERROR(VLOOKUP(B379,Assets_Master!A:J,10,FALSE),"Unknown")</f>
        <v>LATAM</v>
      </c>
      <c r="G379">
        <v>2</v>
      </c>
      <c r="H379">
        <f>IF(AND(C379&lt;&gt;"",D379&lt;&gt;""),NETWORKDAYS(C379,D379),0)</f>
        <v>3</v>
      </c>
      <c r="I379" t="str">
        <f>IF(H379&gt;G379,"YES","NO")</f>
        <v>YES</v>
      </c>
      <c r="J379" t="str">
        <f>TEXT(C379,"mmm-yyyy")</f>
        <v>Mar-2026</v>
      </c>
    </row>
    <row r="380" spans="1:10" x14ac:dyDescent="0.25">
      <c r="A380" t="s">
        <v>532</v>
      </c>
      <c r="B380" t="s">
        <v>1192</v>
      </c>
      <c r="C380" s="3">
        <v>46098</v>
      </c>
      <c r="D380" s="3">
        <v>46099</v>
      </c>
      <c r="E380" t="str">
        <f>IFERROR(VLOOKUP(B380,Assets_Master!A:E,5,FALSE),"Unknown")</f>
        <v>Fujitsu</v>
      </c>
      <c r="F380" t="str">
        <f>IFERROR(VLOOKUP(B380,Assets_Master!A:J,10,FALSE),"Unknown")</f>
        <v>LATAM</v>
      </c>
      <c r="G380">
        <v>2</v>
      </c>
      <c r="H380">
        <f>IF(AND(C380&lt;&gt;"",D380&lt;&gt;""),NETWORKDAYS(C380,D380),0)</f>
        <v>2</v>
      </c>
      <c r="I380" t="str">
        <f>IF(H380&gt;G380,"YES","NO")</f>
        <v>NO</v>
      </c>
      <c r="J380" t="str">
        <f>TEXT(C380,"mmm-yyyy")</f>
        <v>Mar-2026</v>
      </c>
    </row>
    <row r="381" spans="1:10" x14ac:dyDescent="0.25">
      <c r="A381" t="s">
        <v>533</v>
      </c>
      <c r="B381" t="s">
        <v>1943</v>
      </c>
      <c r="C381" s="3">
        <v>46117</v>
      </c>
      <c r="D381" s="3">
        <v>46119</v>
      </c>
      <c r="E381" t="str">
        <f>IFERROR(VLOOKUP(B381,Assets_Master!A:E,5,FALSE),"Unknown")</f>
        <v>Apple Enterprise</v>
      </c>
      <c r="F381" t="str">
        <f>IFERROR(VLOOKUP(B381,Assets_Master!A:J,10,FALSE),"Unknown")</f>
        <v>LATAM</v>
      </c>
      <c r="G381">
        <v>2</v>
      </c>
      <c r="H381">
        <f>IF(AND(C381&lt;&gt;"",D381&lt;&gt;""),NETWORKDAYS(C381,D381),0)</f>
        <v>2</v>
      </c>
      <c r="I381" t="str">
        <f>IF(H381&gt;G381,"YES","NO")</f>
        <v>NO</v>
      </c>
      <c r="J381" t="str">
        <f>TEXT(C381,"mmm-yyyy")</f>
        <v>Apr-2026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D70C-96F1-4FA9-8BDD-203070F825E3}">
  <sheetPr codeName="Sheet17"/>
  <dimension ref="A1:D5"/>
  <sheetViews>
    <sheetView workbookViewId="0">
      <selection activeCell="D3" sqref="D3"/>
    </sheetView>
  </sheetViews>
  <sheetFormatPr defaultRowHeight="15" x14ac:dyDescent="0.25"/>
  <cols>
    <col min="1" max="1" width="19" bestFit="1" customWidth="1"/>
    <col min="2" max="2" width="12.7109375" bestFit="1" customWidth="1"/>
    <col min="3" max="3" width="12.140625" bestFit="1" customWidth="1"/>
    <col min="4" max="4" width="16" bestFit="1" customWidth="1"/>
  </cols>
  <sheetData>
    <row r="1" spans="1:4" x14ac:dyDescent="0.25">
      <c r="A1" s="8" t="s">
        <v>534</v>
      </c>
      <c r="B1" s="8" t="s">
        <v>535</v>
      </c>
      <c r="C1" s="8" t="s">
        <v>536</v>
      </c>
      <c r="D1" s="8" t="s">
        <v>537</v>
      </c>
    </row>
    <row r="2" spans="1:4" x14ac:dyDescent="0.25">
      <c r="A2" t="s">
        <v>538</v>
      </c>
      <c r="B2" s="10">
        <f>COUNTIF(Repair_Log[Ticket_ID], "TKT*") - COUNTIF(Repair_Log[Ticket_ID], "&gt;TKT-2026-0150")</f>
        <v>150</v>
      </c>
      <c r="C2" s="10">
        <f>COUNTIFS(Repair_Log[SLA_Breach], "YES", Repair_Log[Ticket_ID], "&lt;TKT-2026-0150")</f>
        <v>109</v>
      </c>
      <c r="D2" s="9">
        <f>IF(B2&gt;0, C2/B2, 0)</f>
        <v>0.72666666666666668</v>
      </c>
    </row>
    <row r="3" spans="1:4" x14ac:dyDescent="0.25">
      <c r="A3" t="s">
        <v>539</v>
      </c>
      <c r="B3" s="10">
        <f>COUNTIF(Repair_Log[Ticket_ID], "&gt;TKT-2026-0150")</f>
        <v>230</v>
      </c>
      <c r="C3" s="10">
        <f>COUNTIFS(Repair_Log[SLA_Breach], "YES", Repair_Log[Ticket_ID], "&gt;TKT-2026-0150")</f>
        <v>48</v>
      </c>
      <c r="D3" s="9">
        <f>IF(B3&gt;0, C3/B3, 0)</f>
        <v>0.20869565217391303</v>
      </c>
    </row>
    <row r="5" spans="1:4" x14ac:dyDescent="0.25">
      <c r="A5" t="s">
        <v>540</v>
      </c>
      <c r="B5" s="9">
        <f>IFERROR((D2-D3)/D2, 0)</f>
        <v>0.71280414838452333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0DA1A-DBBD-4E4D-ABB4-4A4729110AC0}">
  <sheetPr codeName="Sheet18"/>
  <dimension ref="A1:O41"/>
  <sheetViews>
    <sheetView workbookViewId="0">
      <selection activeCell="L10" sqref="L10"/>
    </sheetView>
  </sheetViews>
  <sheetFormatPr defaultRowHeight="15" x14ac:dyDescent="0.25"/>
  <cols>
    <col min="1" max="1" width="18" bestFit="1" customWidth="1"/>
    <col min="2" max="2" width="16.85546875" bestFit="1" customWidth="1"/>
    <col min="3" max="3" width="9.28515625" bestFit="1" customWidth="1"/>
    <col min="4" max="4" width="12.7109375" bestFit="1" customWidth="1"/>
    <col min="5" max="5" width="9.28515625" bestFit="1" customWidth="1"/>
    <col min="6" max="6" width="12.7109375" bestFit="1" customWidth="1"/>
    <col min="7" max="7" width="9.28515625" bestFit="1" customWidth="1"/>
    <col min="8" max="8" width="12.7109375" bestFit="1" customWidth="1"/>
    <col min="9" max="9" width="9.28515625" bestFit="1" customWidth="1"/>
    <col min="10" max="10" width="12.7109375" bestFit="1" customWidth="1"/>
    <col min="11" max="11" width="9.28515625" bestFit="1" customWidth="1"/>
    <col min="12" max="12" width="12.7109375" bestFit="1" customWidth="1"/>
    <col min="13" max="13" width="9.28515625" bestFit="1" customWidth="1"/>
    <col min="14" max="14" width="17.85546875" bestFit="1" customWidth="1"/>
    <col min="15" max="15" width="14.28515625" bestFit="1" customWidth="1"/>
  </cols>
  <sheetData>
    <row r="1" spans="1:15" ht="21" x14ac:dyDescent="0.35">
      <c r="A1" s="15" t="s">
        <v>554</v>
      </c>
    </row>
    <row r="3" spans="1:15" x14ac:dyDescent="0.25">
      <c r="B3" s="11" t="s">
        <v>543</v>
      </c>
    </row>
    <row r="4" spans="1:15" x14ac:dyDescent="0.25">
      <c r="B4" t="s">
        <v>544</v>
      </c>
      <c r="D4" t="s">
        <v>545</v>
      </c>
      <c r="F4" t="s">
        <v>546</v>
      </c>
      <c r="H4" t="s">
        <v>547</v>
      </c>
      <c r="J4" t="s">
        <v>548</v>
      </c>
      <c r="L4" t="s">
        <v>549</v>
      </c>
      <c r="N4" t="s">
        <v>551</v>
      </c>
      <c r="O4" t="s">
        <v>552</v>
      </c>
    </row>
    <row r="5" spans="1:15" x14ac:dyDescent="0.25">
      <c r="A5" s="11" t="s">
        <v>541</v>
      </c>
      <c r="B5" t="s">
        <v>550</v>
      </c>
      <c r="C5" t="s">
        <v>553</v>
      </c>
      <c r="D5" t="s">
        <v>550</v>
      </c>
      <c r="E5" t="s">
        <v>553</v>
      </c>
      <c r="F5" t="s">
        <v>550</v>
      </c>
      <c r="G5" t="s">
        <v>553</v>
      </c>
      <c r="H5" t="s">
        <v>550</v>
      </c>
      <c r="I5" t="s">
        <v>553</v>
      </c>
      <c r="J5" t="s">
        <v>550</v>
      </c>
      <c r="K5" t="s">
        <v>553</v>
      </c>
      <c r="L5" t="s">
        <v>550</v>
      </c>
      <c r="M5" t="s">
        <v>553</v>
      </c>
    </row>
    <row r="6" spans="1:15" x14ac:dyDescent="0.25">
      <c r="A6" s="12" t="s">
        <v>37</v>
      </c>
      <c r="B6" s="14">
        <v>11</v>
      </c>
      <c r="C6" s="14">
        <v>11</v>
      </c>
      <c r="D6" s="14">
        <v>6</v>
      </c>
      <c r="E6" s="14">
        <v>6</v>
      </c>
      <c r="F6" s="14">
        <v>2</v>
      </c>
      <c r="G6" s="14">
        <v>2</v>
      </c>
      <c r="H6" s="14">
        <v>4</v>
      </c>
      <c r="I6" s="14">
        <v>4</v>
      </c>
      <c r="J6" s="14">
        <v>31</v>
      </c>
      <c r="K6" s="14">
        <v>31</v>
      </c>
      <c r="L6" s="14">
        <v>4</v>
      </c>
      <c r="M6" s="14">
        <v>4</v>
      </c>
      <c r="N6" s="14">
        <v>58</v>
      </c>
      <c r="O6" s="14">
        <v>58</v>
      </c>
    </row>
    <row r="7" spans="1:15" x14ac:dyDescent="0.25">
      <c r="A7" s="13" t="s">
        <v>19</v>
      </c>
      <c r="B7" s="14">
        <v>3</v>
      </c>
      <c r="C7" s="14">
        <v>3</v>
      </c>
      <c r="D7" s="14">
        <v>1</v>
      </c>
      <c r="E7" s="14">
        <v>1</v>
      </c>
      <c r="F7" s="14"/>
      <c r="G7" s="14"/>
      <c r="H7" s="14">
        <v>1</v>
      </c>
      <c r="I7" s="14">
        <v>1</v>
      </c>
      <c r="J7" s="14">
        <v>10</v>
      </c>
      <c r="K7" s="14">
        <v>10</v>
      </c>
      <c r="L7" s="14">
        <v>2</v>
      </c>
      <c r="M7" s="14">
        <v>2</v>
      </c>
      <c r="N7" s="14">
        <v>17</v>
      </c>
      <c r="O7" s="14">
        <v>17</v>
      </c>
    </row>
    <row r="8" spans="1:15" x14ac:dyDescent="0.25">
      <c r="A8" s="13" t="s">
        <v>23</v>
      </c>
      <c r="B8" s="14">
        <v>2</v>
      </c>
      <c r="C8" s="14">
        <v>2</v>
      </c>
      <c r="D8" s="14">
        <v>2</v>
      </c>
      <c r="E8" s="14">
        <v>2</v>
      </c>
      <c r="F8" s="14">
        <v>2</v>
      </c>
      <c r="G8" s="14">
        <v>2</v>
      </c>
      <c r="H8" s="14"/>
      <c r="I8" s="14"/>
      <c r="J8" s="14">
        <v>7</v>
      </c>
      <c r="K8" s="14">
        <v>7</v>
      </c>
      <c r="L8" s="14">
        <v>1</v>
      </c>
      <c r="M8" s="14">
        <v>1</v>
      </c>
      <c r="N8" s="14">
        <v>14</v>
      </c>
      <c r="O8" s="14">
        <v>14</v>
      </c>
    </row>
    <row r="9" spans="1:15" x14ac:dyDescent="0.25">
      <c r="A9" s="13" t="s">
        <v>35</v>
      </c>
      <c r="B9" s="14">
        <v>2</v>
      </c>
      <c r="C9" s="14">
        <v>2</v>
      </c>
      <c r="D9" s="14">
        <v>2</v>
      </c>
      <c r="E9" s="14">
        <v>2</v>
      </c>
      <c r="F9" s="14"/>
      <c r="G9" s="14"/>
      <c r="H9" s="14"/>
      <c r="I9" s="14"/>
      <c r="J9" s="14">
        <v>7</v>
      </c>
      <c r="K9" s="14">
        <v>7</v>
      </c>
      <c r="L9" s="14"/>
      <c r="M9" s="14"/>
      <c r="N9" s="14">
        <v>11</v>
      </c>
      <c r="O9" s="14">
        <v>11</v>
      </c>
    </row>
    <row r="10" spans="1:15" x14ac:dyDescent="0.25">
      <c r="A10" s="13" t="s">
        <v>14</v>
      </c>
      <c r="B10" s="14">
        <v>4</v>
      </c>
      <c r="C10" s="14">
        <v>4</v>
      </c>
      <c r="D10" s="14">
        <v>1</v>
      </c>
      <c r="E10" s="14">
        <v>1</v>
      </c>
      <c r="F10" s="14"/>
      <c r="G10" s="14"/>
      <c r="H10" s="14">
        <v>3</v>
      </c>
      <c r="I10" s="14">
        <v>3</v>
      </c>
      <c r="J10" s="14">
        <v>7</v>
      </c>
      <c r="K10" s="14">
        <v>7</v>
      </c>
      <c r="L10" s="14">
        <v>1</v>
      </c>
      <c r="M10" s="14">
        <v>1</v>
      </c>
      <c r="N10" s="14">
        <v>16</v>
      </c>
      <c r="O10" s="14">
        <v>16</v>
      </c>
    </row>
    <row r="11" spans="1:15" x14ac:dyDescent="0.25">
      <c r="A11" s="12" t="s">
        <v>39</v>
      </c>
      <c r="B11" s="14">
        <v>12</v>
      </c>
      <c r="C11" s="14">
        <v>12</v>
      </c>
      <c r="D11" s="14">
        <v>7</v>
      </c>
      <c r="E11" s="14">
        <v>7</v>
      </c>
      <c r="F11" s="14">
        <v>2</v>
      </c>
      <c r="G11" s="14">
        <v>2</v>
      </c>
      <c r="H11" s="14">
        <v>9</v>
      </c>
      <c r="I11" s="14">
        <v>9</v>
      </c>
      <c r="J11" s="14">
        <v>24</v>
      </c>
      <c r="K11" s="14">
        <v>24</v>
      </c>
      <c r="L11" s="14">
        <v>1</v>
      </c>
      <c r="M11" s="14">
        <v>1</v>
      </c>
      <c r="N11" s="14">
        <v>55</v>
      </c>
      <c r="O11" s="14">
        <v>55</v>
      </c>
    </row>
    <row r="12" spans="1:15" x14ac:dyDescent="0.25">
      <c r="A12" s="13" t="s">
        <v>19</v>
      </c>
      <c r="B12" s="14">
        <v>5</v>
      </c>
      <c r="C12" s="14">
        <v>5</v>
      </c>
      <c r="D12" s="14">
        <v>2</v>
      </c>
      <c r="E12" s="14">
        <v>2</v>
      </c>
      <c r="F12" s="14"/>
      <c r="G12" s="14"/>
      <c r="H12" s="14">
        <v>1</v>
      </c>
      <c r="I12" s="14">
        <v>1</v>
      </c>
      <c r="J12" s="14">
        <v>11</v>
      </c>
      <c r="K12" s="14">
        <v>11</v>
      </c>
      <c r="L12" s="14"/>
      <c r="M12" s="14"/>
      <c r="N12" s="14">
        <v>19</v>
      </c>
      <c r="O12" s="14">
        <v>19</v>
      </c>
    </row>
    <row r="13" spans="1:15" x14ac:dyDescent="0.25">
      <c r="A13" s="13" t="s">
        <v>23</v>
      </c>
      <c r="B13" s="14">
        <v>2</v>
      </c>
      <c r="C13" s="14">
        <v>2</v>
      </c>
      <c r="D13" s="14">
        <v>1</v>
      </c>
      <c r="E13" s="14">
        <v>1</v>
      </c>
      <c r="F13" s="14">
        <v>1</v>
      </c>
      <c r="G13" s="14">
        <v>1</v>
      </c>
      <c r="H13" s="14">
        <v>1</v>
      </c>
      <c r="I13" s="14">
        <v>1</v>
      </c>
      <c r="J13" s="14">
        <v>6</v>
      </c>
      <c r="K13" s="14">
        <v>6</v>
      </c>
      <c r="L13" s="14">
        <v>1</v>
      </c>
      <c r="M13" s="14">
        <v>1</v>
      </c>
      <c r="N13" s="14">
        <v>12</v>
      </c>
      <c r="O13" s="14">
        <v>12</v>
      </c>
    </row>
    <row r="14" spans="1:15" x14ac:dyDescent="0.25">
      <c r="A14" s="13" t="s">
        <v>35</v>
      </c>
      <c r="B14" s="14">
        <v>1</v>
      </c>
      <c r="C14" s="14">
        <v>1</v>
      </c>
      <c r="D14" s="14"/>
      <c r="E14" s="14"/>
      <c r="F14" s="14"/>
      <c r="G14" s="14"/>
      <c r="H14" s="14">
        <v>4</v>
      </c>
      <c r="I14" s="14">
        <v>4</v>
      </c>
      <c r="J14" s="14">
        <v>3</v>
      </c>
      <c r="K14" s="14">
        <v>3</v>
      </c>
      <c r="L14" s="14"/>
      <c r="M14" s="14"/>
      <c r="N14" s="14">
        <v>8</v>
      </c>
      <c r="O14" s="14">
        <v>8</v>
      </c>
    </row>
    <row r="15" spans="1:15" x14ac:dyDescent="0.25">
      <c r="A15" s="13" t="s">
        <v>14</v>
      </c>
      <c r="B15" s="14">
        <v>4</v>
      </c>
      <c r="C15" s="14">
        <v>4</v>
      </c>
      <c r="D15" s="14">
        <v>4</v>
      </c>
      <c r="E15" s="14">
        <v>4</v>
      </c>
      <c r="F15" s="14">
        <v>1</v>
      </c>
      <c r="G15" s="14">
        <v>1</v>
      </c>
      <c r="H15" s="14">
        <v>3</v>
      </c>
      <c r="I15" s="14">
        <v>3</v>
      </c>
      <c r="J15" s="14">
        <v>4</v>
      </c>
      <c r="K15" s="14">
        <v>4</v>
      </c>
      <c r="L15" s="14"/>
      <c r="M15" s="14"/>
      <c r="N15" s="14">
        <v>16</v>
      </c>
      <c r="O15" s="14">
        <v>16</v>
      </c>
    </row>
    <row r="16" spans="1:15" x14ac:dyDescent="0.25">
      <c r="A16" s="12" t="s">
        <v>34</v>
      </c>
      <c r="B16" s="14">
        <v>14</v>
      </c>
      <c r="C16" s="14">
        <v>14</v>
      </c>
      <c r="D16" s="14">
        <v>7</v>
      </c>
      <c r="E16" s="14">
        <v>7</v>
      </c>
      <c r="F16" s="14">
        <v>2</v>
      </c>
      <c r="G16" s="14">
        <v>2</v>
      </c>
      <c r="H16" s="14">
        <v>13</v>
      </c>
      <c r="I16" s="14">
        <v>13</v>
      </c>
      <c r="J16" s="14">
        <v>25</v>
      </c>
      <c r="K16" s="14">
        <v>25</v>
      </c>
      <c r="L16" s="14">
        <v>2</v>
      </c>
      <c r="M16" s="14">
        <v>2</v>
      </c>
      <c r="N16" s="14">
        <v>63</v>
      </c>
      <c r="O16" s="14">
        <v>63</v>
      </c>
    </row>
    <row r="17" spans="1:15" x14ac:dyDescent="0.25">
      <c r="A17" s="13" t="s">
        <v>19</v>
      </c>
      <c r="B17" s="14">
        <v>5</v>
      </c>
      <c r="C17" s="14">
        <v>5</v>
      </c>
      <c r="D17" s="14">
        <v>1</v>
      </c>
      <c r="E17" s="14">
        <v>1</v>
      </c>
      <c r="F17" s="14">
        <v>2</v>
      </c>
      <c r="G17" s="14">
        <v>2</v>
      </c>
      <c r="H17" s="14">
        <v>3</v>
      </c>
      <c r="I17" s="14">
        <v>3</v>
      </c>
      <c r="J17" s="14">
        <v>2</v>
      </c>
      <c r="K17" s="14">
        <v>2</v>
      </c>
      <c r="L17" s="14"/>
      <c r="M17" s="14"/>
      <c r="N17" s="14">
        <v>13</v>
      </c>
      <c r="O17" s="14">
        <v>13</v>
      </c>
    </row>
    <row r="18" spans="1:15" x14ac:dyDescent="0.25">
      <c r="A18" s="13" t="s">
        <v>23</v>
      </c>
      <c r="B18" s="14">
        <v>3</v>
      </c>
      <c r="C18" s="14">
        <v>3</v>
      </c>
      <c r="D18" s="14">
        <v>4</v>
      </c>
      <c r="E18" s="14">
        <v>4</v>
      </c>
      <c r="F18" s="14"/>
      <c r="G18" s="14"/>
      <c r="H18" s="14">
        <v>3</v>
      </c>
      <c r="I18" s="14">
        <v>3</v>
      </c>
      <c r="J18" s="14">
        <v>6</v>
      </c>
      <c r="K18" s="14">
        <v>6</v>
      </c>
      <c r="L18" s="14"/>
      <c r="M18" s="14"/>
      <c r="N18" s="14">
        <v>16</v>
      </c>
      <c r="O18" s="14">
        <v>16</v>
      </c>
    </row>
    <row r="19" spans="1:15" x14ac:dyDescent="0.25">
      <c r="A19" s="13" t="s">
        <v>35</v>
      </c>
      <c r="B19" s="14">
        <v>1</v>
      </c>
      <c r="C19" s="14">
        <v>1</v>
      </c>
      <c r="D19" s="14"/>
      <c r="E19" s="14"/>
      <c r="F19" s="14"/>
      <c r="G19" s="14"/>
      <c r="H19" s="14">
        <v>3</v>
      </c>
      <c r="I19" s="14">
        <v>3</v>
      </c>
      <c r="J19" s="14">
        <v>6</v>
      </c>
      <c r="K19" s="14">
        <v>6</v>
      </c>
      <c r="L19" s="14"/>
      <c r="M19" s="14"/>
      <c r="N19" s="14">
        <v>10</v>
      </c>
      <c r="O19" s="14">
        <v>10</v>
      </c>
    </row>
    <row r="20" spans="1:15" x14ac:dyDescent="0.25">
      <c r="A20" s="13" t="s">
        <v>14</v>
      </c>
      <c r="B20" s="14">
        <v>5</v>
      </c>
      <c r="C20" s="14">
        <v>5</v>
      </c>
      <c r="D20" s="14">
        <v>2</v>
      </c>
      <c r="E20" s="14">
        <v>2</v>
      </c>
      <c r="F20" s="14"/>
      <c r="G20" s="14"/>
      <c r="H20" s="14">
        <v>4</v>
      </c>
      <c r="I20" s="14">
        <v>4</v>
      </c>
      <c r="J20" s="14">
        <v>11</v>
      </c>
      <c r="K20" s="14">
        <v>11</v>
      </c>
      <c r="L20" s="14">
        <v>2</v>
      </c>
      <c r="M20" s="14">
        <v>2</v>
      </c>
      <c r="N20" s="14">
        <v>24</v>
      </c>
      <c r="O20" s="14">
        <v>24</v>
      </c>
    </row>
    <row r="21" spans="1:15" x14ac:dyDescent="0.25">
      <c r="A21" s="12" t="s">
        <v>13</v>
      </c>
      <c r="B21" s="14">
        <v>8</v>
      </c>
      <c r="C21" s="14">
        <v>8</v>
      </c>
      <c r="D21" s="14">
        <v>6</v>
      </c>
      <c r="E21" s="14">
        <v>6</v>
      </c>
      <c r="F21" s="14">
        <v>5</v>
      </c>
      <c r="G21" s="14">
        <v>5</v>
      </c>
      <c r="H21" s="14">
        <v>4</v>
      </c>
      <c r="I21" s="14">
        <v>4</v>
      </c>
      <c r="J21" s="14">
        <v>21</v>
      </c>
      <c r="K21" s="14">
        <v>21</v>
      </c>
      <c r="L21" s="14">
        <v>2</v>
      </c>
      <c r="M21" s="14">
        <v>2</v>
      </c>
      <c r="N21" s="14">
        <v>46</v>
      </c>
      <c r="O21" s="14">
        <v>46</v>
      </c>
    </row>
    <row r="22" spans="1:15" x14ac:dyDescent="0.25">
      <c r="A22" s="13" t="s">
        <v>19</v>
      </c>
      <c r="B22" s="14">
        <v>4</v>
      </c>
      <c r="C22" s="14">
        <v>4</v>
      </c>
      <c r="D22" s="14"/>
      <c r="E22" s="14"/>
      <c r="F22" s="14">
        <v>1</v>
      </c>
      <c r="G22" s="14">
        <v>1</v>
      </c>
      <c r="H22" s="14">
        <v>2</v>
      </c>
      <c r="I22" s="14">
        <v>2</v>
      </c>
      <c r="J22" s="14">
        <v>8</v>
      </c>
      <c r="K22" s="14">
        <v>8</v>
      </c>
      <c r="L22" s="14">
        <v>1</v>
      </c>
      <c r="M22" s="14">
        <v>1</v>
      </c>
      <c r="N22" s="14">
        <v>16</v>
      </c>
      <c r="O22" s="14">
        <v>16</v>
      </c>
    </row>
    <row r="23" spans="1:15" x14ac:dyDescent="0.25">
      <c r="A23" s="13" t="s">
        <v>23</v>
      </c>
      <c r="B23" s="14">
        <v>1</v>
      </c>
      <c r="C23" s="14">
        <v>1</v>
      </c>
      <c r="D23" s="14"/>
      <c r="E23" s="14"/>
      <c r="F23" s="14">
        <v>2</v>
      </c>
      <c r="G23" s="14">
        <v>2</v>
      </c>
      <c r="H23" s="14">
        <v>1</v>
      </c>
      <c r="I23" s="14">
        <v>1</v>
      </c>
      <c r="J23" s="14">
        <v>6</v>
      </c>
      <c r="K23" s="14">
        <v>6</v>
      </c>
      <c r="L23" s="14"/>
      <c r="M23" s="14"/>
      <c r="N23" s="14">
        <v>10</v>
      </c>
      <c r="O23" s="14">
        <v>10</v>
      </c>
    </row>
    <row r="24" spans="1:15" x14ac:dyDescent="0.25">
      <c r="A24" s="13" t="s">
        <v>35</v>
      </c>
      <c r="B24" s="14">
        <v>3</v>
      </c>
      <c r="C24" s="14">
        <v>3</v>
      </c>
      <c r="D24" s="14">
        <v>4</v>
      </c>
      <c r="E24" s="14">
        <v>4</v>
      </c>
      <c r="F24" s="14">
        <v>1</v>
      </c>
      <c r="G24" s="14">
        <v>1</v>
      </c>
      <c r="H24" s="14"/>
      <c r="I24" s="14"/>
      <c r="J24" s="14">
        <v>5</v>
      </c>
      <c r="K24" s="14">
        <v>5</v>
      </c>
      <c r="L24" s="14"/>
      <c r="M24" s="14"/>
      <c r="N24" s="14">
        <v>13</v>
      </c>
      <c r="O24" s="14">
        <v>13</v>
      </c>
    </row>
    <row r="25" spans="1:15" x14ac:dyDescent="0.25">
      <c r="A25" s="13" t="s">
        <v>14</v>
      </c>
      <c r="B25" s="14"/>
      <c r="C25" s="14"/>
      <c r="D25" s="14">
        <v>2</v>
      </c>
      <c r="E25" s="14">
        <v>2</v>
      </c>
      <c r="F25" s="14">
        <v>1</v>
      </c>
      <c r="G25" s="14">
        <v>1</v>
      </c>
      <c r="H25" s="14">
        <v>1</v>
      </c>
      <c r="I25" s="14">
        <v>1</v>
      </c>
      <c r="J25" s="14">
        <v>2</v>
      </c>
      <c r="K25" s="14">
        <v>2</v>
      </c>
      <c r="L25" s="14">
        <v>1</v>
      </c>
      <c r="M25" s="14">
        <v>1</v>
      </c>
      <c r="N25" s="14">
        <v>7</v>
      </c>
      <c r="O25" s="14">
        <v>7</v>
      </c>
    </row>
    <row r="26" spans="1:15" x14ac:dyDescent="0.25">
      <c r="A26" s="12" t="s">
        <v>22</v>
      </c>
      <c r="B26" s="14">
        <v>8</v>
      </c>
      <c r="C26" s="14">
        <v>8</v>
      </c>
      <c r="D26" s="14">
        <v>9</v>
      </c>
      <c r="E26" s="14">
        <v>9</v>
      </c>
      <c r="F26" s="14">
        <v>2</v>
      </c>
      <c r="G26" s="14">
        <v>2</v>
      </c>
      <c r="H26" s="14">
        <v>8</v>
      </c>
      <c r="I26" s="14">
        <v>8</v>
      </c>
      <c r="J26" s="14">
        <v>20</v>
      </c>
      <c r="K26" s="14">
        <v>20</v>
      </c>
      <c r="L26" s="14">
        <v>3</v>
      </c>
      <c r="M26" s="14">
        <v>3</v>
      </c>
      <c r="N26" s="14">
        <v>50</v>
      </c>
      <c r="O26" s="14">
        <v>50</v>
      </c>
    </row>
    <row r="27" spans="1:15" x14ac:dyDescent="0.25">
      <c r="A27" s="13" t="s">
        <v>19</v>
      </c>
      <c r="B27" s="14">
        <v>2</v>
      </c>
      <c r="C27" s="14">
        <v>2</v>
      </c>
      <c r="D27" s="14">
        <v>2</v>
      </c>
      <c r="E27" s="14">
        <v>2</v>
      </c>
      <c r="F27" s="14">
        <v>1</v>
      </c>
      <c r="G27" s="14">
        <v>1</v>
      </c>
      <c r="H27" s="14">
        <v>2</v>
      </c>
      <c r="I27" s="14">
        <v>2</v>
      </c>
      <c r="J27" s="14">
        <v>7</v>
      </c>
      <c r="K27" s="14">
        <v>7</v>
      </c>
      <c r="L27" s="14"/>
      <c r="M27" s="14"/>
      <c r="N27" s="14">
        <v>14</v>
      </c>
      <c r="O27" s="14">
        <v>14</v>
      </c>
    </row>
    <row r="28" spans="1:15" x14ac:dyDescent="0.25">
      <c r="A28" s="13" t="s">
        <v>23</v>
      </c>
      <c r="B28" s="14">
        <v>2</v>
      </c>
      <c r="C28" s="14">
        <v>2</v>
      </c>
      <c r="D28" s="14">
        <v>4</v>
      </c>
      <c r="E28" s="14">
        <v>4</v>
      </c>
      <c r="F28" s="14">
        <v>1</v>
      </c>
      <c r="G28" s="14">
        <v>1</v>
      </c>
      <c r="H28" s="14"/>
      <c r="I28" s="14"/>
      <c r="J28" s="14">
        <v>4</v>
      </c>
      <c r="K28" s="14">
        <v>4</v>
      </c>
      <c r="L28" s="14">
        <v>1</v>
      </c>
      <c r="M28" s="14">
        <v>1</v>
      </c>
      <c r="N28" s="14">
        <v>12</v>
      </c>
      <c r="O28" s="14">
        <v>12</v>
      </c>
    </row>
    <row r="29" spans="1:15" x14ac:dyDescent="0.25">
      <c r="A29" s="13" t="s">
        <v>35</v>
      </c>
      <c r="B29" s="14">
        <v>1</v>
      </c>
      <c r="C29" s="14">
        <v>1</v>
      </c>
      <c r="D29" s="14"/>
      <c r="E29" s="14"/>
      <c r="F29" s="14"/>
      <c r="G29" s="14"/>
      <c r="H29" s="14">
        <v>2</v>
      </c>
      <c r="I29" s="14">
        <v>2</v>
      </c>
      <c r="J29" s="14">
        <v>1</v>
      </c>
      <c r="K29" s="14">
        <v>1</v>
      </c>
      <c r="L29" s="14"/>
      <c r="M29" s="14"/>
      <c r="N29" s="14">
        <v>4</v>
      </c>
      <c r="O29" s="14">
        <v>4</v>
      </c>
    </row>
    <row r="30" spans="1:15" x14ac:dyDescent="0.25">
      <c r="A30" s="13" t="s">
        <v>14</v>
      </c>
      <c r="B30" s="14">
        <v>3</v>
      </c>
      <c r="C30" s="14">
        <v>3</v>
      </c>
      <c r="D30" s="14">
        <v>3</v>
      </c>
      <c r="E30" s="14">
        <v>3</v>
      </c>
      <c r="F30" s="14"/>
      <c r="G30" s="14"/>
      <c r="H30" s="14">
        <v>4</v>
      </c>
      <c r="I30" s="14">
        <v>4</v>
      </c>
      <c r="J30" s="14">
        <v>8</v>
      </c>
      <c r="K30" s="14">
        <v>8</v>
      </c>
      <c r="L30" s="14">
        <v>2</v>
      </c>
      <c r="M30" s="14">
        <v>2</v>
      </c>
      <c r="N30" s="14">
        <v>20</v>
      </c>
      <c r="O30" s="14">
        <v>20</v>
      </c>
    </row>
    <row r="31" spans="1:15" x14ac:dyDescent="0.25">
      <c r="A31" s="12" t="s">
        <v>32</v>
      </c>
      <c r="B31" s="14">
        <v>7</v>
      </c>
      <c r="C31" s="14">
        <v>7</v>
      </c>
      <c r="D31" s="14">
        <v>10</v>
      </c>
      <c r="E31" s="14">
        <v>10</v>
      </c>
      <c r="F31" s="14">
        <v>8</v>
      </c>
      <c r="G31" s="14">
        <v>8</v>
      </c>
      <c r="H31" s="14">
        <v>8</v>
      </c>
      <c r="I31" s="14">
        <v>8</v>
      </c>
      <c r="J31" s="14">
        <v>21</v>
      </c>
      <c r="K31" s="14">
        <v>21</v>
      </c>
      <c r="L31" s="14">
        <v>5</v>
      </c>
      <c r="M31" s="14">
        <v>5</v>
      </c>
      <c r="N31" s="14">
        <v>59</v>
      </c>
      <c r="O31" s="14">
        <v>59</v>
      </c>
    </row>
    <row r="32" spans="1:15" x14ac:dyDescent="0.25">
      <c r="A32" s="13" t="s">
        <v>19</v>
      </c>
      <c r="B32" s="14"/>
      <c r="C32" s="14"/>
      <c r="D32" s="14">
        <v>2</v>
      </c>
      <c r="E32" s="14">
        <v>2</v>
      </c>
      <c r="F32" s="14">
        <v>3</v>
      </c>
      <c r="G32" s="14">
        <v>3</v>
      </c>
      <c r="H32" s="14">
        <v>4</v>
      </c>
      <c r="I32" s="14">
        <v>4</v>
      </c>
      <c r="J32" s="14">
        <v>5</v>
      </c>
      <c r="K32" s="14">
        <v>5</v>
      </c>
      <c r="L32" s="14"/>
      <c r="M32" s="14"/>
      <c r="N32" s="14">
        <v>14</v>
      </c>
      <c r="O32" s="14">
        <v>14</v>
      </c>
    </row>
    <row r="33" spans="1:15" x14ac:dyDescent="0.25">
      <c r="A33" s="13" t="s">
        <v>23</v>
      </c>
      <c r="B33" s="14">
        <v>2</v>
      </c>
      <c r="C33" s="14">
        <v>2</v>
      </c>
      <c r="D33" s="14">
        <v>5</v>
      </c>
      <c r="E33" s="14">
        <v>5</v>
      </c>
      <c r="F33" s="14">
        <v>2</v>
      </c>
      <c r="G33" s="14">
        <v>2</v>
      </c>
      <c r="H33" s="14">
        <v>1</v>
      </c>
      <c r="I33" s="14">
        <v>1</v>
      </c>
      <c r="J33" s="14">
        <v>5</v>
      </c>
      <c r="K33" s="14">
        <v>5</v>
      </c>
      <c r="L33" s="14">
        <v>2</v>
      </c>
      <c r="M33" s="14">
        <v>2</v>
      </c>
      <c r="N33" s="14">
        <v>17</v>
      </c>
      <c r="O33" s="14">
        <v>17</v>
      </c>
    </row>
    <row r="34" spans="1:15" x14ac:dyDescent="0.25">
      <c r="A34" s="13" t="s">
        <v>35</v>
      </c>
      <c r="B34" s="14">
        <v>2</v>
      </c>
      <c r="C34" s="14">
        <v>2</v>
      </c>
      <c r="D34" s="14">
        <v>3</v>
      </c>
      <c r="E34" s="14">
        <v>3</v>
      </c>
      <c r="F34" s="14">
        <v>1</v>
      </c>
      <c r="G34" s="14">
        <v>1</v>
      </c>
      <c r="H34" s="14">
        <v>1</v>
      </c>
      <c r="I34" s="14">
        <v>1</v>
      </c>
      <c r="J34" s="14">
        <v>4</v>
      </c>
      <c r="K34" s="14">
        <v>4</v>
      </c>
      <c r="L34" s="14">
        <v>2</v>
      </c>
      <c r="M34" s="14">
        <v>2</v>
      </c>
      <c r="N34" s="14">
        <v>13</v>
      </c>
      <c r="O34" s="14">
        <v>13</v>
      </c>
    </row>
    <row r="35" spans="1:15" x14ac:dyDescent="0.25">
      <c r="A35" s="13" t="s">
        <v>14</v>
      </c>
      <c r="B35" s="14">
        <v>3</v>
      </c>
      <c r="C35" s="14">
        <v>3</v>
      </c>
      <c r="D35" s="14"/>
      <c r="E35" s="14"/>
      <c r="F35" s="14">
        <v>2</v>
      </c>
      <c r="G35" s="14">
        <v>2</v>
      </c>
      <c r="H35" s="14">
        <v>2</v>
      </c>
      <c r="I35" s="14">
        <v>2</v>
      </c>
      <c r="J35" s="14">
        <v>7</v>
      </c>
      <c r="K35" s="14">
        <v>7</v>
      </c>
      <c r="L35" s="14">
        <v>1</v>
      </c>
      <c r="M35" s="14">
        <v>1</v>
      </c>
      <c r="N35" s="14">
        <v>15</v>
      </c>
      <c r="O35" s="14">
        <v>15</v>
      </c>
    </row>
    <row r="36" spans="1:15" x14ac:dyDescent="0.25">
      <c r="A36" s="12" t="s">
        <v>17</v>
      </c>
      <c r="B36" s="14">
        <v>8</v>
      </c>
      <c r="C36" s="14">
        <v>8</v>
      </c>
      <c r="D36" s="14">
        <v>8</v>
      </c>
      <c r="E36" s="14">
        <v>8</v>
      </c>
      <c r="F36" s="14">
        <v>5</v>
      </c>
      <c r="G36" s="14">
        <v>5</v>
      </c>
      <c r="H36" s="14">
        <v>3</v>
      </c>
      <c r="I36" s="14">
        <v>3</v>
      </c>
      <c r="J36" s="14">
        <v>21</v>
      </c>
      <c r="K36" s="14">
        <v>21</v>
      </c>
      <c r="L36" s="14">
        <v>4</v>
      </c>
      <c r="M36" s="14">
        <v>4</v>
      </c>
      <c r="N36" s="14">
        <v>49</v>
      </c>
      <c r="O36" s="14">
        <v>49</v>
      </c>
    </row>
    <row r="37" spans="1:15" x14ac:dyDescent="0.25">
      <c r="A37" s="13" t="s">
        <v>19</v>
      </c>
      <c r="B37" s="14">
        <v>3</v>
      </c>
      <c r="C37" s="14">
        <v>3</v>
      </c>
      <c r="D37" s="14">
        <v>4</v>
      </c>
      <c r="E37" s="14">
        <v>4</v>
      </c>
      <c r="F37" s="14"/>
      <c r="G37" s="14"/>
      <c r="H37" s="14"/>
      <c r="I37" s="14"/>
      <c r="J37" s="14">
        <v>6</v>
      </c>
      <c r="K37" s="14">
        <v>6</v>
      </c>
      <c r="L37" s="14"/>
      <c r="M37" s="14"/>
      <c r="N37" s="14">
        <v>13</v>
      </c>
      <c r="O37" s="14">
        <v>13</v>
      </c>
    </row>
    <row r="38" spans="1:15" x14ac:dyDescent="0.25">
      <c r="A38" s="13" t="s">
        <v>23</v>
      </c>
      <c r="B38" s="14">
        <v>1</v>
      </c>
      <c r="C38" s="14">
        <v>1</v>
      </c>
      <c r="D38" s="14">
        <v>2</v>
      </c>
      <c r="E38" s="14">
        <v>2</v>
      </c>
      <c r="F38" s="14"/>
      <c r="G38" s="14"/>
      <c r="H38" s="14">
        <v>1</v>
      </c>
      <c r="I38" s="14">
        <v>1</v>
      </c>
      <c r="J38" s="14">
        <v>5</v>
      </c>
      <c r="K38" s="14">
        <v>5</v>
      </c>
      <c r="L38" s="14">
        <v>1</v>
      </c>
      <c r="M38" s="14">
        <v>1</v>
      </c>
      <c r="N38" s="14">
        <v>10</v>
      </c>
      <c r="O38" s="14">
        <v>10</v>
      </c>
    </row>
    <row r="39" spans="1:15" x14ac:dyDescent="0.25">
      <c r="A39" s="13" t="s">
        <v>35</v>
      </c>
      <c r="B39" s="14">
        <v>1</v>
      </c>
      <c r="C39" s="14">
        <v>1</v>
      </c>
      <c r="D39" s="14"/>
      <c r="E39" s="14"/>
      <c r="F39" s="14">
        <v>3</v>
      </c>
      <c r="G39" s="14">
        <v>3</v>
      </c>
      <c r="H39" s="14">
        <v>2</v>
      </c>
      <c r="I39" s="14">
        <v>2</v>
      </c>
      <c r="J39" s="14">
        <v>7</v>
      </c>
      <c r="K39" s="14">
        <v>7</v>
      </c>
      <c r="L39" s="14">
        <v>3</v>
      </c>
      <c r="M39" s="14">
        <v>3</v>
      </c>
      <c r="N39" s="14">
        <v>16</v>
      </c>
      <c r="O39" s="14">
        <v>16</v>
      </c>
    </row>
    <row r="40" spans="1:15" x14ac:dyDescent="0.25">
      <c r="A40" s="13" t="s">
        <v>14</v>
      </c>
      <c r="B40" s="14">
        <v>3</v>
      </c>
      <c r="C40" s="14">
        <v>3</v>
      </c>
      <c r="D40" s="14">
        <v>2</v>
      </c>
      <c r="E40" s="14">
        <v>2</v>
      </c>
      <c r="F40" s="14">
        <v>2</v>
      </c>
      <c r="G40" s="14">
        <v>2</v>
      </c>
      <c r="H40" s="14"/>
      <c r="I40" s="14"/>
      <c r="J40" s="14">
        <v>3</v>
      </c>
      <c r="K40" s="14">
        <v>3</v>
      </c>
      <c r="L40" s="14"/>
      <c r="M40" s="14"/>
      <c r="N40" s="14">
        <v>10</v>
      </c>
      <c r="O40" s="14">
        <v>10</v>
      </c>
    </row>
    <row r="41" spans="1:15" x14ac:dyDescent="0.25">
      <c r="A41" s="12" t="s">
        <v>542</v>
      </c>
      <c r="B41" s="14">
        <v>68</v>
      </c>
      <c r="C41" s="14">
        <v>68</v>
      </c>
      <c r="D41" s="14">
        <v>53</v>
      </c>
      <c r="E41" s="14">
        <v>53</v>
      </c>
      <c r="F41" s="14">
        <v>26</v>
      </c>
      <c r="G41" s="14">
        <v>26</v>
      </c>
      <c r="H41" s="14">
        <v>49</v>
      </c>
      <c r="I41" s="14">
        <v>49</v>
      </c>
      <c r="J41" s="14">
        <v>163</v>
      </c>
      <c r="K41" s="14">
        <v>163</v>
      </c>
      <c r="L41" s="14">
        <v>21</v>
      </c>
      <c r="M41" s="14">
        <v>21</v>
      </c>
      <c r="N41" s="14">
        <v>380</v>
      </c>
      <c r="O41" s="14">
        <v>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22F0-4FDE-4549-ADEB-9AD42BE8D6F0}">
  <sheetPr codeName="Sheet19"/>
  <dimension ref="A1:C36"/>
  <sheetViews>
    <sheetView workbookViewId="0">
      <selection activeCell="F8" sqref="F8"/>
    </sheetView>
  </sheetViews>
  <sheetFormatPr defaultRowHeight="15" x14ac:dyDescent="0.25"/>
  <cols>
    <col min="1" max="1" width="19.140625" bestFit="1" customWidth="1"/>
    <col min="2" max="2" width="18.42578125" bestFit="1" customWidth="1"/>
    <col min="3" max="3" width="13.42578125" bestFit="1" customWidth="1"/>
  </cols>
  <sheetData>
    <row r="1" spans="1:3" ht="21" x14ac:dyDescent="0.35">
      <c r="A1" s="15" t="s">
        <v>557</v>
      </c>
    </row>
    <row r="3" spans="1:3" x14ac:dyDescent="0.25">
      <c r="A3" s="11" t="s">
        <v>541</v>
      </c>
      <c r="B3" t="s">
        <v>555</v>
      </c>
      <c r="C3" t="s">
        <v>556</v>
      </c>
    </row>
    <row r="4" spans="1:3" x14ac:dyDescent="0.25">
      <c r="A4" s="12" t="s">
        <v>19</v>
      </c>
      <c r="B4" s="16">
        <v>351406.56000000011</v>
      </c>
      <c r="C4" s="14">
        <v>142</v>
      </c>
    </row>
    <row r="5" spans="1:3" x14ac:dyDescent="0.25">
      <c r="A5" s="13" t="s">
        <v>37</v>
      </c>
      <c r="B5" s="16">
        <v>55652.189999999988</v>
      </c>
      <c r="C5" s="14">
        <v>19</v>
      </c>
    </row>
    <row r="6" spans="1:3" x14ac:dyDescent="0.25">
      <c r="A6" s="13" t="s">
        <v>39</v>
      </c>
      <c r="B6" s="16">
        <v>38692.730000000003</v>
      </c>
      <c r="C6" s="14">
        <v>18</v>
      </c>
    </row>
    <row r="7" spans="1:3" x14ac:dyDescent="0.25">
      <c r="A7" s="13" t="s">
        <v>34</v>
      </c>
      <c r="B7" s="16">
        <v>34925.230000000003</v>
      </c>
      <c r="C7" s="14">
        <v>16</v>
      </c>
    </row>
    <row r="8" spans="1:3" x14ac:dyDescent="0.25">
      <c r="A8" s="13" t="s">
        <v>13</v>
      </c>
      <c r="B8" s="16">
        <v>62386.95</v>
      </c>
      <c r="C8" s="14">
        <v>24</v>
      </c>
    </row>
    <row r="9" spans="1:3" x14ac:dyDescent="0.25">
      <c r="A9" s="13" t="s">
        <v>22</v>
      </c>
      <c r="B9" s="16">
        <v>51446.11</v>
      </c>
      <c r="C9" s="14">
        <v>22</v>
      </c>
    </row>
    <row r="10" spans="1:3" x14ac:dyDescent="0.25">
      <c r="A10" s="13" t="s">
        <v>32</v>
      </c>
      <c r="B10" s="16">
        <v>52588.74</v>
      </c>
      <c r="C10" s="14">
        <v>21</v>
      </c>
    </row>
    <row r="11" spans="1:3" x14ac:dyDescent="0.25">
      <c r="A11" s="13" t="s">
        <v>17</v>
      </c>
      <c r="B11" s="16">
        <v>55714.61</v>
      </c>
      <c r="C11" s="14">
        <v>22</v>
      </c>
    </row>
    <row r="12" spans="1:3" x14ac:dyDescent="0.25">
      <c r="A12" s="12" t="s">
        <v>23</v>
      </c>
      <c r="B12" s="16">
        <v>395429.81999999995</v>
      </c>
      <c r="C12" s="14">
        <v>137</v>
      </c>
    </row>
    <row r="13" spans="1:3" x14ac:dyDescent="0.25">
      <c r="A13" s="13" t="s">
        <v>37</v>
      </c>
      <c r="B13" s="16">
        <v>56394.39</v>
      </c>
      <c r="C13" s="14">
        <v>18</v>
      </c>
    </row>
    <row r="14" spans="1:3" x14ac:dyDescent="0.25">
      <c r="A14" s="13" t="s">
        <v>39</v>
      </c>
      <c r="B14" s="16">
        <v>72267.72</v>
      </c>
      <c r="C14" s="14">
        <v>18</v>
      </c>
    </row>
    <row r="15" spans="1:3" x14ac:dyDescent="0.25">
      <c r="A15" s="13" t="s">
        <v>34</v>
      </c>
      <c r="B15" s="16">
        <v>84173.689999999988</v>
      </c>
      <c r="C15" s="14">
        <v>27</v>
      </c>
    </row>
    <row r="16" spans="1:3" x14ac:dyDescent="0.25">
      <c r="A16" s="13" t="s">
        <v>13</v>
      </c>
      <c r="B16" s="16">
        <v>36661.019999999997</v>
      </c>
      <c r="C16" s="14">
        <v>16</v>
      </c>
    </row>
    <row r="17" spans="1:3" x14ac:dyDescent="0.25">
      <c r="A17" s="13" t="s">
        <v>22</v>
      </c>
      <c r="B17" s="16">
        <v>56629.450000000019</v>
      </c>
      <c r="C17" s="14">
        <v>19</v>
      </c>
    </row>
    <row r="18" spans="1:3" x14ac:dyDescent="0.25">
      <c r="A18" s="13" t="s">
        <v>32</v>
      </c>
      <c r="B18" s="16">
        <v>43930.3</v>
      </c>
      <c r="C18" s="14">
        <v>18</v>
      </c>
    </row>
    <row r="19" spans="1:3" x14ac:dyDescent="0.25">
      <c r="A19" s="13" t="s">
        <v>17</v>
      </c>
      <c r="B19" s="16">
        <v>45373.250000000007</v>
      </c>
      <c r="C19" s="14">
        <v>21</v>
      </c>
    </row>
    <row r="20" spans="1:3" x14ac:dyDescent="0.25">
      <c r="A20" s="12" t="s">
        <v>35</v>
      </c>
      <c r="B20" s="16">
        <v>335065.56000000011</v>
      </c>
      <c r="C20" s="14">
        <v>109</v>
      </c>
    </row>
    <row r="21" spans="1:3" x14ac:dyDescent="0.25">
      <c r="A21" s="13" t="s">
        <v>37</v>
      </c>
      <c r="B21" s="16">
        <v>36619.79</v>
      </c>
      <c r="C21" s="14">
        <v>18</v>
      </c>
    </row>
    <row r="22" spans="1:3" x14ac:dyDescent="0.25">
      <c r="A22" s="13" t="s">
        <v>39</v>
      </c>
      <c r="B22" s="16">
        <v>48936.959999999999</v>
      </c>
      <c r="C22" s="14">
        <v>14</v>
      </c>
    </row>
    <row r="23" spans="1:3" x14ac:dyDescent="0.25">
      <c r="A23" s="13" t="s">
        <v>34</v>
      </c>
      <c r="B23" s="16">
        <v>79266.89</v>
      </c>
      <c r="C23" s="14">
        <v>18</v>
      </c>
    </row>
    <row r="24" spans="1:3" x14ac:dyDescent="0.25">
      <c r="A24" s="13" t="s">
        <v>13</v>
      </c>
      <c r="B24" s="16">
        <v>58559.919999999991</v>
      </c>
      <c r="C24" s="14">
        <v>14</v>
      </c>
    </row>
    <row r="25" spans="1:3" x14ac:dyDescent="0.25">
      <c r="A25" s="13" t="s">
        <v>22</v>
      </c>
      <c r="B25" s="16">
        <v>47360.939999999995</v>
      </c>
      <c r="C25" s="14">
        <v>15</v>
      </c>
    </row>
    <row r="26" spans="1:3" x14ac:dyDescent="0.25">
      <c r="A26" s="13" t="s">
        <v>32</v>
      </c>
      <c r="B26" s="16">
        <v>31635.13</v>
      </c>
      <c r="C26" s="14">
        <v>15</v>
      </c>
    </row>
    <row r="27" spans="1:3" x14ac:dyDescent="0.25">
      <c r="A27" s="13" t="s">
        <v>17</v>
      </c>
      <c r="B27" s="16">
        <v>32685.93</v>
      </c>
      <c r="C27" s="14">
        <v>15</v>
      </c>
    </row>
    <row r="28" spans="1:3" x14ac:dyDescent="0.25">
      <c r="A28" s="12" t="s">
        <v>14</v>
      </c>
      <c r="B28" s="16">
        <v>360402.66000000009</v>
      </c>
      <c r="C28" s="14">
        <v>132</v>
      </c>
    </row>
    <row r="29" spans="1:3" x14ac:dyDescent="0.25">
      <c r="A29" s="13" t="s">
        <v>37</v>
      </c>
      <c r="B29" s="16">
        <v>61931.970000000016</v>
      </c>
      <c r="C29" s="14">
        <v>19</v>
      </c>
    </row>
    <row r="30" spans="1:3" x14ac:dyDescent="0.25">
      <c r="A30" s="13" t="s">
        <v>39</v>
      </c>
      <c r="B30" s="16">
        <v>42055.880000000005</v>
      </c>
      <c r="C30" s="14">
        <v>19</v>
      </c>
    </row>
    <row r="31" spans="1:3" x14ac:dyDescent="0.25">
      <c r="A31" s="13" t="s">
        <v>34</v>
      </c>
      <c r="B31" s="16">
        <v>57058.170000000006</v>
      </c>
      <c r="C31" s="14">
        <v>23</v>
      </c>
    </row>
    <row r="32" spans="1:3" x14ac:dyDescent="0.25">
      <c r="A32" s="13" t="s">
        <v>13</v>
      </c>
      <c r="B32" s="16">
        <v>36716.310000000005</v>
      </c>
      <c r="C32" s="14">
        <v>14</v>
      </c>
    </row>
    <row r="33" spans="1:3" x14ac:dyDescent="0.25">
      <c r="A33" s="13" t="s">
        <v>22</v>
      </c>
      <c r="B33" s="16">
        <v>37289.99</v>
      </c>
      <c r="C33" s="14">
        <v>17</v>
      </c>
    </row>
    <row r="34" spans="1:3" x14ac:dyDescent="0.25">
      <c r="A34" s="13" t="s">
        <v>32</v>
      </c>
      <c r="B34" s="16">
        <v>58551.149999999994</v>
      </c>
      <c r="C34" s="14">
        <v>22</v>
      </c>
    </row>
    <row r="35" spans="1:3" x14ac:dyDescent="0.25">
      <c r="A35" s="13" t="s">
        <v>17</v>
      </c>
      <c r="B35" s="16">
        <v>66799.189999999988</v>
      </c>
      <c r="C35" s="14">
        <v>18</v>
      </c>
    </row>
    <row r="36" spans="1:3" x14ac:dyDescent="0.25">
      <c r="A36" s="12" t="s">
        <v>542</v>
      </c>
      <c r="B36" s="16">
        <v>1442304.5999999996</v>
      </c>
      <c r="C36" s="14">
        <v>520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4BF8-CA70-461D-965C-215268F156C8}">
  <sheetPr codeName="Sheet20"/>
  <dimension ref="A1:N9"/>
  <sheetViews>
    <sheetView tabSelected="1" topLeftCell="A8" workbookViewId="0">
      <selection activeCell="Y15" sqref="Y15"/>
    </sheetView>
  </sheetViews>
  <sheetFormatPr defaultRowHeight="15" x14ac:dyDescent="0.25"/>
  <cols>
    <col min="13" max="14" width="0" hidden="1" customWidth="1"/>
  </cols>
  <sheetData>
    <row r="1" spans="1:14" ht="30" customHeight="1" x14ac:dyDescent="0.4">
      <c r="A1" s="18" t="s">
        <v>558</v>
      </c>
      <c r="B1" s="18"/>
      <c r="C1" s="18"/>
      <c r="D1" s="18"/>
      <c r="E1" s="18"/>
      <c r="F1" s="18"/>
      <c r="G1" s="18"/>
      <c r="H1" s="18"/>
      <c r="M1" t="s">
        <v>9</v>
      </c>
      <c r="N1" t="s">
        <v>2040</v>
      </c>
    </row>
    <row r="2" spans="1:14" x14ac:dyDescent="0.25">
      <c r="M2" t="s">
        <v>19</v>
      </c>
      <c r="N2">
        <f>SUMIF(Assets_Master[Region], M2, Assets_Master[Annual_Cost])</f>
        <v>351406.56000000006</v>
      </c>
    </row>
    <row r="3" spans="1:14" ht="15.75" x14ac:dyDescent="0.25">
      <c r="A3" s="19" t="s">
        <v>559</v>
      </c>
      <c r="B3" s="17"/>
      <c r="C3" s="17"/>
      <c r="D3" s="17"/>
      <c r="E3" s="17"/>
      <c r="F3" s="17"/>
      <c r="M3" t="s">
        <v>35</v>
      </c>
      <c r="N3">
        <f>SUMIF(Assets_Master[Region], M3, Assets_Master[Annual_Cost])</f>
        <v>335065.55999999982</v>
      </c>
    </row>
    <row r="4" spans="1:14" x14ac:dyDescent="0.25">
      <c r="M4" t="s">
        <v>23</v>
      </c>
      <c r="N4">
        <f>SUMIF(Assets_Master[Region], M4, Assets_Master[Annual_Cost])</f>
        <v>395429.81999999989</v>
      </c>
    </row>
    <row r="5" spans="1:14" x14ac:dyDescent="0.25">
      <c r="A5" s="20" t="s">
        <v>560</v>
      </c>
      <c r="B5" s="21"/>
      <c r="C5" s="22"/>
      <c r="D5" s="30" t="s">
        <v>561</v>
      </c>
      <c r="E5" s="31"/>
      <c r="F5" s="32"/>
      <c r="G5" s="41" t="s">
        <v>562</v>
      </c>
      <c r="H5" s="42"/>
      <c r="I5" s="43"/>
      <c r="M5" t="s">
        <v>14</v>
      </c>
      <c r="N5">
        <f>SUMIF(Assets_Master[Region], M5, Assets_Master[Annual_Cost])</f>
        <v>360402.65999999992</v>
      </c>
    </row>
    <row r="6" spans="1:14" x14ac:dyDescent="0.25">
      <c r="A6" s="23"/>
      <c r="B6" s="24"/>
      <c r="C6" s="25"/>
      <c r="D6" s="33"/>
      <c r="E6" s="34"/>
      <c r="F6" s="35"/>
      <c r="G6" s="44"/>
      <c r="H6" s="45"/>
      <c r="I6" s="46"/>
    </row>
    <row r="7" spans="1:14" x14ac:dyDescent="0.25">
      <c r="A7" s="26"/>
      <c r="B7" s="24"/>
      <c r="C7" s="25"/>
      <c r="D7" s="36"/>
      <c r="E7" s="34"/>
      <c r="F7" s="35"/>
      <c r="G7" s="47"/>
      <c r="H7" s="45"/>
      <c r="I7" s="46"/>
    </row>
    <row r="8" spans="1:14" x14ac:dyDescent="0.25">
      <c r="A8" s="23"/>
      <c r="B8" s="24"/>
      <c r="C8" s="25"/>
      <c r="D8" s="40"/>
      <c r="E8" s="34"/>
      <c r="F8" s="35"/>
      <c r="G8" s="44"/>
      <c r="H8" s="45"/>
      <c r="I8" s="46"/>
    </row>
    <row r="9" spans="1:14" x14ac:dyDescent="0.25">
      <c r="A9" s="27"/>
      <c r="B9" s="28"/>
      <c r="C9" s="29"/>
      <c r="D9" s="37"/>
      <c r="E9" s="38"/>
      <c r="F9" s="39"/>
      <c r="G9" s="48"/>
      <c r="H9" s="49"/>
      <c r="I9" s="50"/>
    </row>
  </sheetData>
  <mergeCells count="5">
    <mergeCell ref="A1:H1"/>
    <mergeCell ref="A3:F3"/>
    <mergeCell ref="A5:C9"/>
    <mergeCell ref="D5:F9"/>
    <mergeCell ref="G5:I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Assets_Master</vt:lpstr>
      <vt:lpstr>Repair_Log</vt:lpstr>
      <vt:lpstr>Control_Metrics</vt:lpstr>
      <vt:lpstr>Pivot_SLA</vt:lpstr>
      <vt:lpstr>Pivot_Spend</vt:lpstr>
      <vt:lpstr>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MBUYU, Omari</dc:creator>
  <cp:lastModifiedBy>MBUYU, Omari</cp:lastModifiedBy>
  <dcterms:created xsi:type="dcterms:W3CDTF">2026-04-15T10:42:12Z</dcterms:created>
  <dcterms:modified xsi:type="dcterms:W3CDTF">2026-04-15T11:11:49Z</dcterms:modified>
</cp:coreProperties>
</file>